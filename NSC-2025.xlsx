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061a69857a388f/Documents/ini anreg/"/>
    </mc:Choice>
  </mc:AlternateContent>
  <xr:revisionPtr revIDLastSave="47" documentId="13_ncr:1_{F42C3AC7-50BA-4823-94A8-E52CCD7EBFB7}" xr6:coauthVersionLast="47" xr6:coauthVersionMax="47" xr10:uidLastSave="{78EBD96E-FC05-47CB-9F5C-BA0C3B7E4FEC}"/>
  <bookViews>
    <workbookView xWindow="-108" yWindow="-108" windowWidth="23256" windowHeight="13896" activeTab="1" xr2:uid="{00000000-000D-0000-FFFF-FFFF00000000}"/>
  </bookViews>
  <sheets>
    <sheet name="Sheet2" sheetId="6" r:id="rId1"/>
    <sheet name="b0 dan b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7" i="7" l="1"/>
  <c r="F125" i="7"/>
  <c r="D124" i="7"/>
  <c r="F122" i="7"/>
  <c r="E12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  <c r="B122" i="7"/>
  <c r="C124" i="7"/>
  <c r="C122" i="7"/>
  <c r="D12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2" i="7"/>
</calcChain>
</file>

<file path=xl/sharedStrings.xml><?xml version="1.0" encoding="utf-8"?>
<sst xmlns="http://schemas.openxmlformats.org/spreadsheetml/2006/main" count="143" uniqueCount="143">
  <si>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</si>
  <si>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</si>
  <si>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</si>
  <si>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</si>
  <si>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</si>
  <si>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</si>
  <si>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</si>
  <si>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</si>
  <si>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</si>
  <si>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Tingkat Partisipasi Angkatan Kerja (TPAK)</t>
  </si>
  <si>
    <t>Tingkat Pengangguran Terbuka (TPT)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</si>
  <si>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</si>
  <si>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</si>
  <si>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</si>
  <si>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</si>
  <si>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</si>
  <si>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</si>
  <si>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</si>
  <si>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</si>
  <si>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</si>
  <si>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</si>
  <si>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</si>
  <si>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</si>
  <si>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</si>
  <si>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</si>
  <si>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</si>
  <si>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</si>
  <si>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</si>
  <si>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</si>
  <si>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</si>
  <si>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</si>
  <si>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</si>
  <si>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</si>
  <si>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</si>
  <si>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</si>
  <si>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</si>
  <si>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</si>
  <si>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</si>
  <si>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</si>
  <si>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</si>
  <si>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</si>
  <si>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</si>
  <si>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</si>
  <si>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</si>
  <si>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</si>
  <si>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</si>
  <si>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</si>
  <si>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</si>
  <si>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</si>
  <si>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</si>
  <si>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</si>
  <si>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</si>
  <si>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</si>
  <si>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</si>
  <si>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</si>
  <si>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</si>
  <si>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</si>
  <si>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</si>
  <si>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</si>
  <si>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</si>
  <si>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</si>
  <si>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</si>
  <si>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</si>
  <si>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</si>
  <si>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</si>
  <si>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</si>
  <si>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</si>
  <si>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</si>
  <si>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</si>
  <si>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</si>
  <si>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</si>
  <si>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</si>
  <si>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</si>
  <si>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</si>
  <si>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</si>
  <si>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</si>
  <si>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</si>
  <si>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</si>
  <si>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</si>
  <si>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</si>
  <si>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</si>
  <si>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</si>
  <si>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</si>
  <si>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</si>
  <si>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</si>
  <si>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</si>
  <si>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</si>
  <si>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</si>
  <si>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</si>
  <si>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</si>
  <si>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</si>
  <si>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</si>
  <si>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</si>
  <si>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</si>
  <si>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</si>
  <si>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</si>
  <si>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</si>
  <si>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</si>
  <si>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</si>
  <si>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</si>
  <si>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</si>
  <si>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</si>
  <si>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</si>
  <si>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</si>
  <si>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</si>
  <si>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</si>
  <si>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</si>
  <si>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</si>
  <si>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</si>
  <si>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</si>
  <si>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</si>
  <si>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</si>
  <si>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</si>
  <si>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</si>
  <si>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</si>
  <si>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</si>
  <si>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</si>
  <si>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</si>
  <si>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</si>
  <si>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</si>
  <si>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</si>
  <si>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</si>
  <si>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</si>
  <si>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</si>
  <si>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</si>
  <si>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</si>
  <si>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</si>
  <si>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</si>
  <si>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</si>
  <si>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</si>
  <si>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y = ipm</t>
  </si>
  <si>
    <t>x2 = prdb</t>
  </si>
  <si>
    <t>x*y</t>
  </si>
  <si>
    <t>sigma(X*Y)</t>
  </si>
  <si>
    <t>penyebut</t>
  </si>
  <si>
    <t>sigma(x) *sigma(y)</t>
  </si>
  <si>
    <t>jumlah data</t>
  </si>
  <si>
    <t>x^2</t>
  </si>
  <si>
    <t>sigma x^2</t>
  </si>
  <si>
    <t>(sigma x)^2</t>
  </si>
  <si>
    <t>pembilang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</si>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</sst>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2" xfId="0" applyFont="1" applyFill="1" applyBorder="1"/>
    <xf numFmtId="0" fontId="1" fillId="4" borderId="2" xfId="0" applyFont="1" applyFill="1" applyBorder="1"/>
    <xf numFmtId="0" fontId="1" fillId="2" borderId="1" xfId="0" applyFont="1" applyFill="1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87" workbookViewId="0">
      <selection activeCell="D2" sqref="D2:D120"/>
    </sheetView>
  </sheetViews>
  <sheetFormatPr defaultRowHeight="13.2" x14ac:dyDescent="0.25"/>
  <cols>
    <col min="1" max="1" width="29.77734375" customWidth="1"/>
  </cols>
  <sheetData>
    <row r="1" spans="1:11" ht="13.2" customHeight="1" x14ac:dyDescent="0.25">
      <c r="A1" s="7" t="s">
        <v>0</v>
      </c>
      <c r="B1" s="2" t="s">
        <v>1</v>
      </c>
      <c r="C1" s="6" t="s">
        <v>2</v>
      </c>
      <c r="D1" s="2" t="s">
        <v>3</v>
      </c>
      <c r="E1" s="5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5" t="s">
        <v>9</v>
      </c>
      <c r="K1" s="2" t="s">
        <v>10</v>
      </c>
    </row>
    <row r="2" spans="1:11" x14ac:dyDescent="0.25">
      <c r="A2" s="1" t="s">
        <v>11</v>
      </c>
      <c r="B2" s="1">
        <v>76.69</v>
      </c>
      <c r="C2" s="1">
        <v>9.26</v>
      </c>
      <c r="D2" s="1">
        <v>3268.5</v>
      </c>
      <c r="E2" s="1">
        <v>13.03</v>
      </c>
      <c r="F2" s="1">
        <v>89.1</v>
      </c>
      <c r="G2" s="1">
        <v>4.0599999999999996</v>
      </c>
      <c r="H2" s="1">
        <v>0.37</v>
      </c>
      <c r="I2" s="1">
        <v>93.62</v>
      </c>
      <c r="J2" s="1">
        <v>72.58</v>
      </c>
      <c r="K2" s="1">
        <v>7.93</v>
      </c>
    </row>
    <row r="3" spans="1:11" x14ac:dyDescent="0.25">
      <c r="A3" s="1" t="s">
        <v>12</v>
      </c>
      <c r="B3" s="1">
        <v>87.57</v>
      </c>
      <c r="C3" s="1">
        <v>11.95</v>
      </c>
      <c r="D3" s="1">
        <v>500422.7</v>
      </c>
      <c r="E3" s="1">
        <v>3.03</v>
      </c>
      <c r="F3" s="1">
        <v>92.61</v>
      </c>
      <c r="G3" s="1">
        <v>1.38</v>
      </c>
      <c r="H3" s="1">
        <v>3.74</v>
      </c>
      <c r="I3" s="1">
        <v>97.3</v>
      </c>
      <c r="J3" s="1">
        <v>64.81</v>
      </c>
      <c r="K3" s="1">
        <v>5.22</v>
      </c>
    </row>
    <row r="4" spans="1:11" x14ac:dyDescent="0.25">
      <c r="A4" s="1" t="s">
        <v>13</v>
      </c>
      <c r="B4" s="1">
        <v>84.76</v>
      </c>
      <c r="C4" s="1">
        <v>11.99</v>
      </c>
      <c r="D4" s="1">
        <v>362068.1</v>
      </c>
      <c r="E4" s="1">
        <v>4.09</v>
      </c>
      <c r="F4" s="1">
        <v>97.15</v>
      </c>
      <c r="G4" s="1">
        <v>26.73</v>
      </c>
      <c r="H4" s="1">
        <v>2.13</v>
      </c>
      <c r="I4" s="1">
        <v>95.9</v>
      </c>
      <c r="J4" s="1">
        <v>64.489999999999995</v>
      </c>
      <c r="K4" s="1">
        <v>6.95</v>
      </c>
    </row>
    <row r="5" spans="1:11" x14ac:dyDescent="0.25">
      <c r="A5" s="1" t="s">
        <v>14</v>
      </c>
      <c r="B5" s="1">
        <v>83.75</v>
      </c>
      <c r="C5" s="1">
        <v>11.61</v>
      </c>
      <c r="D5" s="1">
        <v>532606.9</v>
      </c>
      <c r="E5" s="1">
        <v>4.63</v>
      </c>
      <c r="F5" s="1">
        <v>90.3</v>
      </c>
      <c r="G5" s="1">
        <v>0.84</v>
      </c>
      <c r="H5" s="1">
        <v>0.01</v>
      </c>
      <c r="I5" s="1">
        <v>96.24</v>
      </c>
      <c r="J5" s="1">
        <v>65.12</v>
      </c>
      <c r="K5" s="1">
        <v>6.24</v>
      </c>
    </row>
    <row r="6" spans="1:11" x14ac:dyDescent="0.25">
      <c r="A6" s="1" t="s">
        <v>15</v>
      </c>
      <c r="B6" s="1">
        <v>84.4</v>
      </c>
      <c r="C6" s="1">
        <v>11.24</v>
      </c>
      <c r="D6" s="1">
        <v>383113.1</v>
      </c>
      <c r="E6" s="1">
        <v>3.94</v>
      </c>
      <c r="F6" s="1">
        <v>94.94</v>
      </c>
      <c r="G6" s="1">
        <v>5.3</v>
      </c>
      <c r="H6" s="1">
        <v>2.16</v>
      </c>
      <c r="I6" s="1">
        <v>95.66</v>
      </c>
      <c r="J6" s="1">
        <v>64.12</v>
      </c>
      <c r="K6" s="1">
        <v>6.18</v>
      </c>
    </row>
    <row r="7" spans="1:11" x14ac:dyDescent="0.25">
      <c r="A7" s="1" t="s">
        <v>16</v>
      </c>
      <c r="B7" s="1">
        <v>82.13</v>
      </c>
      <c r="C7" s="1">
        <v>10.85</v>
      </c>
      <c r="D7" s="1">
        <v>380461.1</v>
      </c>
      <c r="E7" s="1">
        <v>6.44</v>
      </c>
      <c r="F7" s="1">
        <v>91.39</v>
      </c>
      <c r="G7" s="1">
        <v>30.31</v>
      </c>
      <c r="H7" s="1">
        <v>0.52</v>
      </c>
      <c r="I7" s="1">
        <v>94.43</v>
      </c>
      <c r="J7" s="1">
        <v>67.77</v>
      </c>
      <c r="K7" s="1">
        <v>6.18</v>
      </c>
    </row>
    <row r="8" spans="1:11" x14ac:dyDescent="0.25">
      <c r="A8" s="1" t="s">
        <v>17</v>
      </c>
      <c r="B8" s="1">
        <v>73.63</v>
      </c>
      <c r="C8" s="1">
        <v>8.89</v>
      </c>
      <c r="D8" s="1">
        <v>185882.34</v>
      </c>
      <c r="E8" s="1">
        <v>7.05</v>
      </c>
      <c r="F8" s="1">
        <v>67.180000000000007</v>
      </c>
      <c r="G8" s="1">
        <v>51.65</v>
      </c>
      <c r="H8" s="1">
        <v>3.94</v>
      </c>
      <c r="I8" s="1">
        <v>90.98</v>
      </c>
      <c r="J8" s="1">
        <v>66.3</v>
      </c>
      <c r="K8" s="1">
        <v>7.34</v>
      </c>
    </row>
    <row r="9" spans="1:11" x14ac:dyDescent="0.25">
      <c r="A9" s="1" t="s">
        <v>18</v>
      </c>
      <c r="B9" s="1">
        <v>70.180000000000007</v>
      </c>
      <c r="C9" s="1">
        <v>7.75</v>
      </c>
      <c r="D9" s="1">
        <v>55723.92</v>
      </c>
      <c r="E9" s="1">
        <v>6.87</v>
      </c>
      <c r="F9" s="1">
        <v>51.9</v>
      </c>
      <c r="G9" s="1">
        <v>17.13</v>
      </c>
      <c r="H9" s="1">
        <v>7.72</v>
      </c>
      <c r="I9" s="1">
        <v>89.38</v>
      </c>
      <c r="J9" s="1">
        <v>69.75</v>
      </c>
      <c r="K9" s="1">
        <v>7.11</v>
      </c>
    </row>
    <row r="10" spans="1:11" x14ac:dyDescent="0.25">
      <c r="A10" s="1" t="s">
        <v>19</v>
      </c>
      <c r="B10" s="1">
        <v>68.89</v>
      </c>
      <c r="C10" s="1">
        <v>7.91</v>
      </c>
      <c r="D10" s="1">
        <v>38208.18</v>
      </c>
      <c r="E10" s="1">
        <v>10.14</v>
      </c>
      <c r="F10" s="1">
        <v>63.3</v>
      </c>
      <c r="G10" s="1">
        <v>7.29</v>
      </c>
      <c r="H10" s="1">
        <v>5.48</v>
      </c>
      <c r="I10" s="1">
        <v>86.22</v>
      </c>
      <c r="J10" s="1">
        <v>72.63</v>
      </c>
      <c r="K10" s="1">
        <v>5.99</v>
      </c>
    </row>
    <row r="11" spans="1:11" x14ac:dyDescent="0.25">
      <c r="A11" s="1" t="s">
        <v>20</v>
      </c>
      <c r="B11" s="1">
        <v>74.59</v>
      </c>
      <c r="C11" s="1">
        <v>9.4499999999999993</v>
      </c>
      <c r="D11" s="1">
        <v>97509.91</v>
      </c>
      <c r="E11" s="1">
        <v>6.19</v>
      </c>
      <c r="F11" s="1">
        <v>69.12</v>
      </c>
      <c r="G11" s="1">
        <v>52.91</v>
      </c>
      <c r="H11" s="1">
        <v>6.21</v>
      </c>
      <c r="I11" s="1">
        <v>95.1</v>
      </c>
      <c r="J11" s="1">
        <v>67.22</v>
      </c>
      <c r="K11" s="1">
        <v>6.36</v>
      </c>
    </row>
    <row r="12" spans="1:11" x14ac:dyDescent="0.25">
      <c r="A12" s="1" t="s">
        <v>21</v>
      </c>
      <c r="B12" s="1">
        <v>69.91</v>
      </c>
      <c r="C12" s="1">
        <v>8.31</v>
      </c>
      <c r="D12" s="1">
        <v>46270.92</v>
      </c>
      <c r="E12" s="1">
        <v>9.68</v>
      </c>
      <c r="F12" s="1">
        <v>49.99</v>
      </c>
      <c r="G12" s="1">
        <v>9.44</v>
      </c>
      <c r="H12" s="1">
        <v>9.4499999999999993</v>
      </c>
      <c r="I12" s="1">
        <v>84.24</v>
      </c>
      <c r="J12" s="1">
        <v>71.34</v>
      </c>
      <c r="K12" s="1">
        <v>6.96</v>
      </c>
    </row>
    <row r="13" spans="1:11" x14ac:dyDescent="0.25">
      <c r="A13" s="1" t="s">
        <v>22</v>
      </c>
      <c r="B13" s="1">
        <v>69.98</v>
      </c>
      <c r="C13" s="1">
        <v>8.32</v>
      </c>
      <c r="D13" s="1">
        <v>28879.68</v>
      </c>
      <c r="E13" s="1">
        <v>10.23</v>
      </c>
      <c r="F13" s="1">
        <v>54.68</v>
      </c>
      <c r="G13" s="1">
        <v>8.33</v>
      </c>
      <c r="H13" s="1">
        <v>9.57</v>
      </c>
      <c r="I13" s="1">
        <v>87.64</v>
      </c>
      <c r="J13" s="1">
        <v>68.760000000000005</v>
      </c>
      <c r="K13" s="1">
        <v>3.74</v>
      </c>
    </row>
    <row r="14" spans="1:11" x14ac:dyDescent="0.25">
      <c r="A14" s="1" t="s">
        <v>23</v>
      </c>
      <c r="B14" s="1">
        <v>73.64</v>
      </c>
      <c r="C14" s="1">
        <v>8.33</v>
      </c>
      <c r="D14" s="1">
        <v>26360.94</v>
      </c>
      <c r="E14" s="1">
        <v>7.39</v>
      </c>
      <c r="F14" s="1">
        <v>77.12</v>
      </c>
      <c r="G14" s="1">
        <v>7.29</v>
      </c>
      <c r="H14" s="1">
        <v>3.27</v>
      </c>
      <c r="I14" s="1">
        <v>88.29</v>
      </c>
      <c r="J14" s="1">
        <v>68.14</v>
      </c>
      <c r="K14" s="1">
        <v>3.37</v>
      </c>
    </row>
    <row r="15" spans="1:11" x14ac:dyDescent="0.25">
      <c r="A15" s="1" t="s">
        <v>24</v>
      </c>
      <c r="B15" s="1">
        <v>71.56</v>
      </c>
      <c r="C15" s="1">
        <v>8.18</v>
      </c>
      <c r="D15" s="1">
        <v>20507.27</v>
      </c>
      <c r="E15" s="1">
        <v>11.88</v>
      </c>
      <c r="F15" s="1">
        <v>84.64</v>
      </c>
      <c r="G15" s="1">
        <v>2.27</v>
      </c>
      <c r="H15" s="1">
        <v>5.83</v>
      </c>
      <c r="I15" s="1">
        <v>88</v>
      </c>
      <c r="J15" s="1">
        <v>65.84</v>
      </c>
      <c r="K15" s="1">
        <v>7.78</v>
      </c>
    </row>
    <row r="16" spans="1:11" x14ac:dyDescent="0.25">
      <c r="A16" s="1" t="s">
        <v>25</v>
      </c>
      <c r="B16" s="1">
        <v>72.3</v>
      </c>
      <c r="C16" s="1">
        <v>8.06</v>
      </c>
      <c r="D16" s="1">
        <v>39418.269999999997</v>
      </c>
      <c r="E16" s="1">
        <v>11</v>
      </c>
      <c r="F16" s="1">
        <v>87.92</v>
      </c>
      <c r="G16" s="1">
        <v>20.49</v>
      </c>
      <c r="H16" s="1">
        <v>5.87</v>
      </c>
      <c r="I16" s="1">
        <v>85.43</v>
      </c>
      <c r="J16" s="1">
        <v>69.27</v>
      </c>
      <c r="K16" s="1">
        <v>6.74</v>
      </c>
    </row>
    <row r="17" spans="1:11" x14ac:dyDescent="0.25">
      <c r="A17" s="1" t="s">
        <v>26</v>
      </c>
      <c r="B17" s="1">
        <v>71.37</v>
      </c>
      <c r="C17" s="1">
        <v>7.99</v>
      </c>
      <c r="D17" s="1">
        <v>27438.93</v>
      </c>
      <c r="E17" s="1">
        <v>10.82</v>
      </c>
      <c r="F17" s="1">
        <v>83.61</v>
      </c>
      <c r="G17" s="1">
        <v>25.94</v>
      </c>
      <c r="H17" s="1">
        <v>9.02</v>
      </c>
      <c r="I17" s="1">
        <v>87.98</v>
      </c>
      <c r="J17" s="1">
        <v>69.64</v>
      </c>
      <c r="K17" s="1">
        <v>4.01</v>
      </c>
    </row>
    <row r="18" spans="1:11" x14ac:dyDescent="0.25">
      <c r="A18" s="1" t="s">
        <v>27</v>
      </c>
      <c r="B18" s="1">
        <v>74.569999999999993</v>
      </c>
      <c r="C18" s="1">
        <v>8.86</v>
      </c>
      <c r="D18" s="1">
        <v>27965.759999999998</v>
      </c>
      <c r="E18" s="1">
        <v>9.1</v>
      </c>
      <c r="F18" s="1">
        <v>77.319999999999993</v>
      </c>
      <c r="G18" s="1">
        <v>19.32</v>
      </c>
      <c r="H18" s="1">
        <v>-1.1299999999999999</v>
      </c>
      <c r="I18" s="1">
        <v>96.22</v>
      </c>
      <c r="J18" s="1">
        <v>69.239999999999995</v>
      </c>
      <c r="K18" s="1">
        <v>6.16</v>
      </c>
    </row>
    <row r="19" spans="1:11" x14ac:dyDescent="0.25">
      <c r="A19" s="1" t="s">
        <v>28</v>
      </c>
      <c r="B19" s="1">
        <v>70.72</v>
      </c>
      <c r="C19" s="1">
        <v>7.45</v>
      </c>
      <c r="D19" s="1">
        <v>68701.960000000006</v>
      </c>
      <c r="E19" s="1">
        <v>11.93</v>
      </c>
      <c r="F19" s="1">
        <v>97.27</v>
      </c>
      <c r="G19" s="1">
        <v>43.89</v>
      </c>
      <c r="H19" s="1">
        <v>0</v>
      </c>
      <c r="I19" s="1">
        <v>89.78</v>
      </c>
      <c r="J19" s="1">
        <v>66.430000000000007</v>
      </c>
      <c r="K19" s="1">
        <v>6.25</v>
      </c>
    </row>
    <row r="20" spans="1:11" x14ac:dyDescent="0.25">
      <c r="A20" s="1" t="s">
        <v>29</v>
      </c>
      <c r="B20" s="1">
        <v>72.05</v>
      </c>
      <c r="C20" s="1">
        <v>7.88</v>
      </c>
      <c r="D20" s="1">
        <v>33126.46</v>
      </c>
      <c r="E20" s="1">
        <v>9.49</v>
      </c>
      <c r="F20" s="1">
        <v>90.29</v>
      </c>
      <c r="G20" s="1">
        <v>12.76</v>
      </c>
      <c r="H20" s="1">
        <v>4.8600000000000003</v>
      </c>
      <c r="I20" s="1">
        <v>92.11</v>
      </c>
      <c r="J20" s="1">
        <v>71.709999999999994</v>
      </c>
      <c r="K20" s="1">
        <v>6.73</v>
      </c>
    </row>
    <row r="21" spans="1:11" x14ac:dyDescent="0.25">
      <c r="A21" s="1" t="s">
        <v>30</v>
      </c>
      <c r="B21" s="1">
        <v>73.989999999999995</v>
      </c>
      <c r="C21" s="1">
        <v>8.4</v>
      </c>
      <c r="D21" s="1">
        <v>54142.29</v>
      </c>
      <c r="E21" s="1">
        <v>8.41</v>
      </c>
      <c r="F21" s="1">
        <v>83.01</v>
      </c>
      <c r="G21" s="1">
        <v>57.6</v>
      </c>
      <c r="H21" s="1">
        <v>3.46</v>
      </c>
      <c r="I21" s="1">
        <v>87.96</v>
      </c>
      <c r="J21" s="1">
        <v>66.62</v>
      </c>
      <c r="K21" s="1">
        <v>7.34</v>
      </c>
    </row>
    <row r="22" spans="1:11" x14ac:dyDescent="0.25">
      <c r="A22" s="1" t="s">
        <v>31</v>
      </c>
      <c r="B22" s="1">
        <v>73.819999999999993</v>
      </c>
      <c r="C22" s="1">
        <v>8.5399999999999991</v>
      </c>
      <c r="D22" s="1">
        <v>194903.1</v>
      </c>
      <c r="E22" s="1">
        <v>7.86</v>
      </c>
      <c r="F22" s="1">
        <v>85.99</v>
      </c>
      <c r="G22" s="1">
        <v>69.91</v>
      </c>
      <c r="H22" s="1">
        <v>2.91</v>
      </c>
      <c r="I22" s="1">
        <v>91.98</v>
      </c>
      <c r="J22" s="1">
        <v>63.67</v>
      </c>
      <c r="K22" s="1">
        <v>8.0399999999999991</v>
      </c>
    </row>
    <row r="23" spans="1:11" x14ac:dyDescent="0.25">
      <c r="A23" s="1" t="s">
        <v>32</v>
      </c>
      <c r="B23" s="1">
        <v>76.8</v>
      </c>
      <c r="C23" s="1">
        <v>10.19</v>
      </c>
      <c r="D23" s="1">
        <v>293664.78999999998</v>
      </c>
      <c r="E23" s="1">
        <v>4.8</v>
      </c>
      <c r="F23" s="1">
        <v>89.16</v>
      </c>
      <c r="G23" s="1">
        <v>76.959999999999994</v>
      </c>
      <c r="H23" s="1">
        <v>4.93</v>
      </c>
      <c r="I23" s="1">
        <v>90.18</v>
      </c>
      <c r="J23" s="1">
        <v>65.11</v>
      </c>
      <c r="K23" s="1">
        <v>8.82</v>
      </c>
    </row>
    <row r="24" spans="1:11" x14ac:dyDescent="0.25">
      <c r="A24" s="1" t="s">
        <v>33</v>
      </c>
      <c r="B24" s="1">
        <v>70.77</v>
      </c>
      <c r="C24" s="1">
        <v>8.57</v>
      </c>
      <c r="D24" s="1">
        <v>36793.68</v>
      </c>
      <c r="E24" s="1">
        <v>10.49</v>
      </c>
      <c r="F24" s="1">
        <v>54.02</v>
      </c>
      <c r="G24" s="1">
        <v>40.85</v>
      </c>
      <c r="H24" s="1">
        <v>3.14</v>
      </c>
      <c r="I24" s="1">
        <v>81.59</v>
      </c>
      <c r="J24" s="1">
        <v>68.3</v>
      </c>
      <c r="K24" s="1">
        <v>6.7</v>
      </c>
    </row>
    <row r="25" spans="1:11" x14ac:dyDescent="0.25">
      <c r="A25" s="1" t="s">
        <v>34</v>
      </c>
      <c r="B25" s="1">
        <v>71.03</v>
      </c>
      <c r="C25" s="1">
        <v>8.4700000000000006</v>
      </c>
      <c r="D25" s="1">
        <v>9324.31</v>
      </c>
      <c r="E25" s="1">
        <v>8.75</v>
      </c>
      <c r="F25" s="1">
        <v>90.3</v>
      </c>
      <c r="G25" s="1">
        <v>4.87</v>
      </c>
      <c r="H25" s="1">
        <v>2.5299999999999998</v>
      </c>
      <c r="I25" s="1">
        <v>91.22</v>
      </c>
      <c r="J25" s="1">
        <v>80.12</v>
      </c>
      <c r="K25" s="1">
        <v>1.58</v>
      </c>
    </row>
    <row r="26" spans="1:11" x14ac:dyDescent="0.25">
      <c r="A26" s="1" t="s">
        <v>35</v>
      </c>
      <c r="B26" s="1">
        <v>79.03</v>
      </c>
      <c r="C26" s="1">
        <v>10.79</v>
      </c>
      <c r="D26" s="1">
        <v>38964.67</v>
      </c>
      <c r="E26" s="1">
        <v>6.53</v>
      </c>
      <c r="F26" s="1">
        <v>71.489999999999995</v>
      </c>
      <c r="G26" s="1">
        <v>18.39</v>
      </c>
      <c r="H26" s="1">
        <v>2.4500000000000002</v>
      </c>
      <c r="I26" s="1">
        <v>92.34</v>
      </c>
      <c r="J26" s="1">
        <v>67.349999999999994</v>
      </c>
      <c r="K26" s="1">
        <v>8.1300000000000008</v>
      </c>
    </row>
    <row r="27" spans="1:11" x14ac:dyDescent="0.25">
      <c r="A27" s="1" t="s">
        <v>36</v>
      </c>
      <c r="B27" s="1">
        <v>77.69</v>
      </c>
      <c r="C27" s="1">
        <v>10.44</v>
      </c>
      <c r="D27" s="1">
        <v>10303.16</v>
      </c>
      <c r="E27" s="1">
        <v>7.2</v>
      </c>
      <c r="F27" s="1">
        <v>45.88</v>
      </c>
      <c r="G27" s="1">
        <v>4.87</v>
      </c>
      <c r="H27" s="1">
        <v>5.97</v>
      </c>
      <c r="I27" s="1">
        <v>93.24</v>
      </c>
      <c r="J27" s="1">
        <v>62.58</v>
      </c>
      <c r="K27" s="1">
        <v>8.34</v>
      </c>
    </row>
    <row r="28" spans="1:11" x14ac:dyDescent="0.25">
      <c r="A28" s="1" t="s">
        <v>37</v>
      </c>
      <c r="B28" s="1">
        <v>83.75</v>
      </c>
      <c r="C28" s="1">
        <v>11.05</v>
      </c>
      <c r="D28" s="1">
        <v>233053.79</v>
      </c>
      <c r="E28" s="1">
        <v>3.87</v>
      </c>
      <c r="F28" s="1">
        <v>55.9</v>
      </c>
      <c r="G28" s="1">
        <v>18.29</v>
      </c>
      <c r="H28" s="1">
        <v>0.77</v>
      </c>
      <c r="I28" s="1">
        <v>95.38</v>
      </c>
      <c r="J28" s="1">
        <v>67.930000000000007</v>
      </c>
      <c r="K28" s="1">
        <v>7.4</v>
      </c>
    </row>
    <row r="29" spans="1:11" x14ac:dyDescent="0.25">
      <c r="A29" s="1" t="s">
        <v>38</v>
      </c>
      <c r="B29" s="1">
        <v>78.09</v>
      </c>
      <c r="C29" s="1">
        <v>10.66</v>
      </c>
      <c r="D29" s="1">
        <v>19884.060000000001</v>
      </c>
      <c r="E29" s="1">
        <v>9.02</v>
      </c>
      <c r="F29" s="1">
        <v>95.38</v>
      </c>
      <c r="G29" s="1">
        <v>10.09</v>
      </c>
      <c r="H29" s="1">
        <v>1.27</v>
      </c>
      <c r="I29" s="1">
        <v>96.59</v>
      </c>
      <c r="J29" s="1">
        <v>68.55</v>
      </c>
      <c r="K29" s="1">
        <v>6.29</v>
      </c>
    </row>
    <row r="30" spans="1:11" x14ac:dyDescent="0.25">
      <c r="A30" s="1" t="s">
        <v>39</v>
      </c>
      <c r="B30" s="1">
        <v>83.55</v>
      </c>
      <c r="C30" s="1">
        <v>11.9</v>
      </c>
      <c r="D30" s="1">
        <v>81251.61</v>
      </c>
      <c r="E30" s="1">
        <v>4.01</v>
      </c>
      <c r="F30" s="1">
        <v>99.08</v>
      </c>
      <c r="G30" s="1">
        <v>33.049999999999997</v>
      </c>
      <c r="H30" s="1">
        <v>2.96</v>
      </c>
      <c r="I30" s="1">
        <v>94.28</v>
      </c>
      <c r="J30" s="1">
        <v>65.58</v>
      </c>
      <c r="K30" s="1">
        <v>7.82</v>
      </c>
    </row>
    <row r="31" spans="1:11" x14ac:dyDescent="0.25">
      <c r="A31" s="1" t="s">
        <v>40</v>
      </c>
      <c r="B31" s="1">
        <v>83.05</v>
      </c>
      <c r="C31" s="1">
        <v>11.58</v>
      </c>
      <c r="D31" s="1">
        <v>58241.86</v>
      </c>
      <c r="E31" s="1">
        <v>2.34</v>
      </c>
      <c r="F31" s="1">
        <v>98.76</v>
      </c>
      <c r="G31" s="1">
        <v>29.16</v>
      </c>
      <c r="H31" s="1">
        <v>5</v>
      </c>
      <c r="I31" s="1">
        <v>94.26</v>
      </c>
      <c r="J31" s="1">
        <v>62.89</v>
      </c>
      <c r="K31" s="1">
        <v>6.27</v>
      </c>
    </row>
    <row r="32" spans="1:11" x14ac:dyDescent="0.25">
      <c r="A32" s="1" t="s">
        <v>41</v>
      </c>
      <c r="B32" s="1">
        <v>80.3</v>
      </c>
      <c r="C32" s="1">
        <v>11.47</v>
      </c>
      <c r="D32" s="1">
        <v>27296.93</v>
      </c>
      <c r="E32" s="1">
        <v>4.3899999999999997</v>
      </c>
      <c r="F32" s="1">
        <v>76.44</v>
      </c>
      <c r="G32" s="1">
        <v>44.83</v>
      </c>
      <c r="H32" s="1">
        <v>2.81</v>
      </c>
      <c r="I32" s="1">
        <v>92.78</v>
      </c>
      <c r="J32" s="1">
        <v>66.52</v>
      </c>
      <c r="K32" s="1">
        <v>8.9700000000000006</v>
      </c>
    </row>
    <row r="33" spans="1:11" x14ac:dyDescent="0.25">
      <c r="A33" s="1" t="s">
        <v>42</v>
      </c>
      <c r="B33" s="1">
        <v>76.03</v>
      </c>
      <c r="C33" s="1">
        <v>9.86</v>
      </c>
      <c r="D33" s="1">
        <v>18709.87</v>
      </c>
      <c r="E33" s="1">
        <v>11.1</v>
      </c>
      <c r="F33" s="1">
        <v>53.16</v>
      </c>
      <c r="G33" s="1">
        <v>13.41</v>
      </c>
      <c r="H33" s="1">
        <v>5.46</v>
      </c>
      <c r="I33" s="1">
        <v>92.98</v>
      </c>
      <c r="J33" s="1">
        <v>68.92</v>
      </c>
      <c r="K33" s="1">
        <v>6.49</v>
      </c>
    </row>
    <row r="34" spans="1:11" x14ac:dyDescent="0.25">
      <c r="A34" s="1" t="s">
        <v>43</v>
      </c>
      <c r="B34" s="1">
        <v>75.010000000000005</v>
      </c>
      <c r="C34" s="1">
        <v>9.15</v>
      </c>
      <c r="D34" s="1">
        <v>3883.98</v>
      </c>
      <c r="E34" s="1">
        <v>5.85</v>
      </c>
      <c r="F34" s="1">
        <v>91.07</v>
      </c>
      <c r="G34" s="1">
        <v>10.29</v>
      </c>
      <c r="H34" s="1">
        <v>3.91</v>
      </c>
      <c r="I34" s="1">
        <v>88.93</v>
      </c>
      <c r="J34" s="1">
        <v>67.22</v>
      </c>
      <c r="K34" s="1">
        <v>5.44</v>
      </c>
    </row>
    <row r="35" spans="1:11" x14ac:dyDescent="0.25">
      <c r="A35" s="1" t="s">
        <v>44</v>
      </c>
      <c r="B35" s="1">
        <v>72.55</v>
      </c>
      <c r="C35" s="1">
        <v>7.4</v>
      </c>
      <c r="D35" s="1">
        <v>104540.67</v>
      </c>
      <c r="E35" s="1">
        <v>10.68</v>
      </c>
      <c r="F35" s="1">
        <v>83.25</v>
      </c>
      <c r="G35" s="1">
        <v>55.46</v>
      </c>
      <c r="H35" s="1">
        <v>1.06</v>
      </c>
      <c r="I35" s="1">
        <v>87.82</v>
      </c>
      <c r="J35" s="1">
        <v>67.95</v>
      </c>
      <c r="K35" s="1">
        <v>7.83</v>
      </c>
    </row>
    <row r="36" spans="1:11" x14ac:dyDescent="0.25">
      <c r="A36" s="1" t="s">
        <v>45</v>
      </c>
      <c r="B36" s="1">
        <v>74.52</v>
      </c>
      <c r="C36" s="1">
        <v>7.91</v>
      </c>
      <c r="D36" s="1">
        <v>47795.71</v>
      </c>
      <c r="E36" s="1">
        <v>11.95</v>
      </c>
      <c r="F36" s="1">
        <v>83.25</v>
      </c>
      <c r="G36" s="1">
        <v>26.4</v>
      </c>
      <c r="H36" s="1">
        <v>5.05</v>
      </c>
      <c r="I36" s="1">
        <v>89.64</v>
      </c>
      <c r="J36" s="1">
        <v>68.03</v>
      </c>
      <c r="K36" s="1">
        <v>6.18</v>
      </c>
    </row>
    <row r="37" spans="1:11" x14ac:dyDescent="0.25">
      <c r="A37" s="1" t="s">
        <v>46</v>
      </c>
      <c r="B37" s="1">
        <v>70.97</v>
      </c>
      <c r="C37" s="1">
        <v>7.36</v>
      </c>
      <c r="D37" s="1">
        <v>20422.61</v>
      </c>
      <c r="E37" s="1">
        <v>14.18</v>
      </c>
      <c r="F37" s="1">
        <v>82.01</v>
      </c>
      <c r="G37" s="1">
        <v>28.27</v>
      </c>
      <c r="H37" s="1">
        <v>4.25</v>
      </c>
      <c r="I37" s="1">
        <v>93.92</v>
      </c>
      <c r="J37" s="1">
        <v>74.47</v>
      </c>
      <c r="K37" s="1">
        <v>4.96</v>
      </c>
    </row>
    <row r="38" spans="1:11" x14ac:dyDescent="0.25">
      <c r="A38" s="1" t="s">
        <v>47</v>
      </c>
      <c r="B38" s="1">
        <v>69.62</v>
      </c>
      <c r="C38" s="1">
        <v>6.87</v>
      </c>
      <c r="D38" s="1">
        <v>18051.84</v>
      </c>
      <c r="E38" s="1">
        <v>14.71</v>
      </c>
      <c r="F38" s="1">
        <v>52.4</v>
      </c>
      <c r="G38" s="1">
        <v>16.57</v>
      </c>
      <c r="H38" s="1">
        <v>4.37</v>
      </c>
      <c r="I38" s="1">
        <v>95.11</v>
      </c>
      <c r="J38" s="1">
        <v>73.38</v>
      </c>
      <c r="K38" s="1">
        <v>5.57</v>
      </c>
    </row>
    <row r="39" spans="1:11" x14ac:dyDescent="0.25">
      <c r="A39" s="1" t="s">
        <v>48</v>
      </c>
      <c r="B39" s="1">
        <v>72.48</v>
      </c>
      <c r="C39" s="1">
        <v>7.87</v>
      </c>
      <c r="D39" s="1">
        <v>23837.83</v>
      </c>
      <c r="E39" s="1">
        <v>15.71</v>
      </c>
      <c r="F39" s="1">
        <v>93.43</v>
      </c>
      <c r="G39" s="1">
        <v>22.69</v>
      </c>
      <c r="H39" s="1">
        <v>6</v>
      </c>
      <c r="I39" s="1">
        <v>93.39</v>
      </c>
      <c r="J39" s="1">
        <v>77.37</v>
      </c>
      <c r="K39" s="1">
        <v>5.07</v>
      </c>
    </row>
    <row r="40" spans="1:11" x14ac:dyDescent="0.25">
      <c r="A40" s="1" t="s">
        <v>49</v>
      </c>
      <c r="B40" s="1">
        <v>75.16</v>
      </c>
      <c r="C40" s="1">
        <v>8.65</v>
      </c>
      <c r="D40" s="1">
        <v>15745.98</v>
      </c>
      <c r="E40" s="1">
        <v>10.87</v>
      </c>
      <c r="F40" s="1">
        <v>84.64</v>
      </c>
      <c r="G40" s="1">
        <v>20.059999999999999</v>
      </c>
      <c r="H40" s="1">
        <v>4.8600000000000003</v>
      </c>
      <c r="I40" s="1">
        <v>95.24</v>
      </c>
      <c r="J40" s="1">
        <v>73.72</v>
      </c>
      <c r="K40" s="1">
        <v>3.89</v>
      </c>
    </row>
    <row r="41" spans="1:11" x14ac:dyDescent="0.25">
      <c r="A41" s="1" t="s">
        <v>50</v>
      </c>
      <c r="B41" s="1">
        <v>70.63</v>
      </c>
      <c r="C41" s="1">
        <v>6.9</v>
      </c>
      <c r="D41" s="1">
        <v>16109.38</v>
      </c>
      <c r="E41" s="1">
        <v>15.28</v>
      </c>
      <c r="F41" s="1">
        <v>63.81</v>
      </c>
      <c r="G41" s="1">
        <v>17.72</v>
      </c>
      <c r="H41" s="1">
        <v>1.42</v>
      </c>
      <c r="I41" s="1">
        <v>92.94</v>
      </c>
      <c r="J41" s="1">
        <v>74.97</v>
      </c>
      <c r="K41" s="1">
        <v>4.0199999999999996</v>
      </c>
    </row>
    <row r="42" spans="1:11" x14ac:dyDescent="0.25">
      <c r="A42" s="1" t="s">
        <v>51</v>
      </c>
      <c r="B42" s="1">
        <v>72.099999999999994</v>
      </c>
      <c r="C42" s="1">
        <v>7.83</v>
      </c>
      <c r="D42" s="1">
        <v>27538.21</v>
      </c>
      <c r="E42" s="1">
        <v>10.83</v>
      </c>
      <c r="F42" s="1">
        <v>83.77</v>
      </c>
      <c r="G42" s="1">
        <v>24.46</v>
      </c>
      <c r="H42" s="1">
        <v>6.54</v>
      </c>
      <c r="I42" s="1">
        <v>92.93</v>
      </c>
      <c r="J42" s="1">
        <v>77.72</v>
      </c>
      <c r="K42" s="1">
        <v>3.55</v>
      </c>
    </row>
    <row r="43" spans="1:11" x14ac:dyDescent="0.25">
      <c r="A43" s="1" t="s">
        <v>52</v>
      </c>
      <c r="B43" s="1">
        <v>75.959999999999994</v>
      </c>
      <c r="C43" s="1">
        <v>8.17</v>
      </c>
      <c r="D43" s="1">
        <v>27556.18</v>
      </c>
      <c r="E43" s="1">
        <v>9.6300000000000008</v>
      </c>
      <c r="F43" s="1">
        <v>88.26</v>
      </c>
      <c r="G43" s="1">
        <v>31.48</v>
      </c>
      <c r="H43" s="1">
        <v>6.5</v>
      </c>
      <c r="I43" s="1">
        <v>94.76</v>
      </c>
      <c r="J43" s="1">
        <v>75.25</v>
      </c>
      <c r="K43" s="1">
        <v>3.16</v>
      </c>
    </row>
    <row r="44" spans="1:11" x14ac:dyDescent="0.25">
      <c r="A44" s="1" t="s">
        <v>53</v>
      </c>
      <c r="B44" s="1">
        <v>78.16</v>
      </c>
      <c r="C44" s="1">
        <v>9.2899999999999991</v>
      </c>
      <c r="D44" s="1">
        <v>33568.92</v>
      </c>
      <c r="E44" s="1">
        <v>12.04</v>
      </c>
      <c r="F44" s="1">
        <v>97.86</v>
      </c>
      <c r="G44" s="1">
        <v>38.549999999999997</v>
      </c>
      <c r="H44" s="1">
        <v>5.37</v>
      </c>
      <c r="I44" s="1">
        <v>95.99</v>
      </c>
      <c r="J44" s="1">
        <v>74.239999999999995</v>
      </c>
      <c r="K44" s="1">
        <v>3.97</v>
      </c>
    </row>
    <row r="45" spans="1:11" x14ac:dyDescent="0.25">
      <c r="A45" s="1" t="s">
        <v>54</v>
      </c>
      <c r="B45" s="1">
        <v>79.3</v>
      </c>
      <c r="C45" s="1">
        <v>10.01</v>
      </c>
      <c r="D45" s="1">
        <v>32187.41</v>
      </c>
      <c r="E45" s="1">
        <v>7.47</v>
      </c>
      <c r="F45" s="1">
        <v>97.08</v>
      </c>
      <c r="G45" s="1">
        <v>38.15</v>
      </c>
      <c r="H45" s="1">
        <v>3.63</v>
      </c>
      <c r="I45" s="1">
        <v>97.87</v>
      </c>
      <c r="J45" s="1">
        <v>68.209999999999994</v>
      </c>
      <c r="K45" s="1">
        <v>3.65</v>
      </c>
    </row>
    <row r="46" spans="1:11" x14ac:dyDescent="0.25">
      <c r="A46" s="1" t="s">
        <v>55</v>
      </c>
      <c r="B46" s="1">
        <v>72.540000000000006</v>
      </c>
      <c r="C46" s="1">
        <v>7.68</v>
      </c>
      <c r="D46" s="1">
        <v>24728.69</v>
      </c>
      <c r="E46" s="1">
        <v>10.71</v>
      </c>
      <c r="F46" s="1">
        <v>96.25</v>
      </c>
      <c r="G46" s="1">
        <v>19.25</v>
      </c>
      <c r="H46" s="1">
        <v>6.49</v>
      </c>
      <c r="I46" s="1">
        <v>92.27</v>
      </c>
      <c r="J46" s="1">
        <v>77.75</v>
      </c>
      <c r="K46" s="1">
        <v>2.4</v>
      </c>
    </row>
    <row r="47" spans="1:11" x14ac:dyDescent="0.25">
      <c r="A47" s="1" t="s">
        <v>56</v>
      </c>
      <c r="B47" s="1">
        <v>78.11</v>
      </c>
      <c r="C47" s="1">
        <v>9.26</v>
      </c>
      <c r="D47" s="1">
        <v>31883.1</v>
      </c>
      <c r="E47" s="1">
        <v>9.59</v>
      </c>
      <c r="F47" s="1">
        <v>98.54</v>
      </c>
      <c r="G47" s="1">
        <v>46.97</v>
      </c>
      <c r="H47" s="1">
        <v>5.4</v>
      </c>
      <c r="I47" s="1">
        <v>97.13</v>
      </c>
      <c r="J47" s="1">
        <v>74.569999999999993</v>
      </c>
      <c r="K47" s="1">
        <v>3.47</v>
      </c>
    </row>
    <row r="48" spans="1:11" x14ac:dyDescent="0.25">
      <c r="A48" s="1" t="s">
        <v>57</v>
      </c>
      <c r="B48" s="1">
        <v>75.53</v>
      </c>
      <c r="C48" s="1">
        <v>7.88</v>
      </c>
      <c r="D48" s="1">
        <v>32084.080000000002</v>
      </c>
      <c r="E48" s="1">
        <v>12.41</v>
      </c>
      <c r="F48" s="1">
        <v>95.71</v>
      </c>
      <c r="G48" s="1">
        <v>39.76</v>
      </c>
      <c r="H48" s="1">
        <v>4.9000000000000004</v>
      </c>
      <c r="I48" s="1">
        <v>92.57</v>
      </c>
      <c r="J48" s="1">
        <v>74.540000000000006</v>
      </c>
      <c r="K48" s="1">
        <v>3.53</v>
      </c>
    </row>
    <row r="49" spans="1:11" x14ac:dyDescent="0.25">
      <c r="A49" s="1" t="s">
        <v>58</v>
      </c>
      <c r="B49" s="1">
        <v>72.02</v>
      </c>
      <c r="C49" s="1">
        <v>7.29</v>
      </c>
      <c r="D49" s="1">
        <v>23591.06</v>
      </c>
      <c r="E49" s="1">
        <v>11.43</v>
      </c>
      <c r="F49" s="1">
        <v>93.94</v>
      </c>
      <c r="G49" s="1">
        <v>14.79</v>
      </c>
      <c r="H49" s="1">
        <v>5.55</v>
      </c>
      <c r="I49" s="1">
        <v>86.4</v>
      </c>
      <c r="J49" s="1">
        <v>76.56</v>
      </c>
      <c r="K49" s="1">
        <v>3.23</v>
      </c>
    </row>
    <row r="50" spans="1:11" x14ac:dyDescent="0.25">
      <c r="A50" s="1" t="s">
        <v>59</v>
      </c>
      <c r="B50" s="1">
        <v>71.42</v>
      </c>
      <c r="C50" s="1">
        <v>7.26</v>
      </c>
      <c r="D50" s="1">
        <v>19776.060000000001</v>
      </c>
      <c r="E50" s="1">
        <v>11.42</v>
      </c>
      <c r="F50" s="1">
        <v>90.81</v>
      </c>
      <c r="G50" s="1">
        <v>10.91</v>
      </c>
      <c r="H50" s="1">
        <v>5.16</v>
      </c>
      <c r="I50" s="1">
        <v>85.85</v>
      </c>
      <c r="J50" s="1">
        <v>73.510000000000005</v>
      </c>
      <c r="K50" s="1">
        <v>3.67</v>
      </c>
    </row>
    <row r="51" spans="1:11" x14ac:dyDescent="0.25">
      <c r="A51" s="1" t="s">
        <v>60</v>
      </c>
      <c r="B51" s="1">
        <v>72.53</v>
      </c>
      <c r="C51" s="1">
        <v>7.73</v>
      </c>
      <c r="D51" s="1">
        <v>16248.58</v>
      </c>
      <c r="E51" s="1">
        <v>14.02</v>
      </c>
      <c r="F51" s="1">
        <v>94.89</v>
      </c>
      <c r="G51" s="1">
        <v>24.39</v>
      </c>
      <c r="H51" s="1">
        <v>5.61</v>
      </c>
      <c r="I51" s="1">
        <v>88.45</v>
      </c>
      <c r="J51" s="1">
        <v>74.5</v>
      </c>
      <c r="K51" s="1">
        <v>2.84</v>
      </c>
    </row>
    <row r="52" spans="1:11" x14ac:dyDescent="0.25">
      <c r="A52" s="1" t="s">
        <v>61</v>
      </c>
      <c r="B52" s="1">
        <v>74.099999999999994</v>
      </c>
      <c r="C52" s="1">
        <v>7.82</v>
      </c>
      <c r="D52" s="1">
        <v>36780.74</v>
      </c>
      <c r="E52" s="1">
        <v>9.17</v>
      </c>
      <c r="F52" s="1">
        <v>96.33</v>
      </c>
      <c r="G52" s="1">
        <v>28.78</v>
      </c>
      <c r="H52" s="1">
        <v>6.26</v>
      </c>
      <c r="I52" s="1">
        <v>92.46</v>
      </c>
      <c r="J52" s="1">
        <v>76.75</v>
      </c>
      <c r="K52" s="1">
        <v>3.87</v>
      </c>
    </row>
    <row r="53" spans="1:11" x14ac:dyDescent="0.25">
      <c r="A53" s="1" t="s">
        <v>62</v>
      </c>
      <c r="B53" s="1">
        <v>77.209999999999994</v>
      </c>
      <c r="C53" s="1">
        <v>9.35</v>
      </c>
      <c r="D53" s="1">
        <v>75010.789999999994</v>
      </c>
      <c r="E53" s="1">
        <v>7.23</v>
      </c>
      <c r="F53" s="1">
        <v>95.9</v>
      </c>
      <c r="G53" s="1">
        <v>77.709999999999994</v>
      </c>
      <c r="H53" s="1">
        <v>1.76</v>
      </c>
      <c r="I53" s="1">
        <v>93.92</v>
      </c>
      <c r="J53" s="1">
        <v>75.53</v>
      </c>
      <c r="K53" s="1">
        <v>3.19</v>
      </c>
    </row>
    <row r="54" spans="1:11" x14ac:dyDescent="0.25">
      <c r="A54" s="1" t="s">
        <v>63</v>
      </c>
      <c r="B54" s="1">
        <v>74.319999999999993</v>
      </c>
      <c r="C54" s="1">
        <v>8.27</v>
      </c>
      <c r="D54" s="1">
        <v>25482.07</v>
      </c>
      <c r="E54" s="1">
        <v>6.09</v>
      </c>
      <c r="F54" s="1">
        <v>68.05</v>
      </c>
      <c r="G54" s="1">
        <v>34.01</v>
      </c>
      <c r="H54" s="1">
        <v>2.97</v>
      </c>
      <c r="I54" s="1">
        <v>91.63</v>
      </c>
      <c r="J54" s="1">
        <v>71.94</v>
      </c>
      <c r="K54" s="1">
        <v>3.34</v>
      </c>
    </row>
    <row r="55" spans="1:11" x14ac:dyDescent="0.25">
      <c r="A55" s="1" t="s">
        <v>64</v>
      </c>
      <c r="B55" s="1">
        <v>74.569999999999993</v>
      </c>
      <c r="C55" s="1">
        <v>8.2799999999999994</v>
      </c>
      <c r="D55" s="1">
        <v>21894.6</v>
      </c>
      <c r="E55" s="1">
        <v>11.89</v>
      </c>
      <c r="F55" s="1">
        <v>95.13</v>
      </c>
      <c r="G55" s="1">
        <v>31.66</v>
      </c>
      <c r="H55" s="1">
        <v>4.7699999999999996</v>
      </c>
      <c r="I55" s="1">
        <v>91.19</v>
      </c>
      <c r="J55" s="1">
        <v>72.36</v>
      </c>
      <c r="K55" s="1">
        <v>4.75</v>
      </c>
    </row>
    <row r="56" spans="1:11" x14ac:dyDescent="0.25">
      <c r="A56" s="1" t="s">
        <v>65</v>
      </c>
      <c r="B56" s="1">
        <v>75.67</v>
      </c>
      <c r="C56" s="1">
        <v>8.16</v>
      </c>
      <c r="D56" s="1">
        <v>41529.4</v>
      </c>
      <c r="E56" s="1">
        <v>6.96</v>
      </c>
      <c r="F56" s="1">
        <v>86.32</v>
      </c>
      <c r="G56" s="1">
        <v>38.71</v>
      </c>
      <c r="H56" s="1">
        <v>3.86</v>
      </c>
      <c r="I56" s="1">
        <v>96.63</v>
      </c>
      <c r="J56" s="1">
        <v>79.290000000000006</v>
      </c>
      <c r="K56" s="1">
        <v>3.73</v>
      </c>
    </row>
    <row r="57" spans="1:11" x14ac:dyDescent="0.25">
      <c r="A57" s="1" t="s">
        <v>66</v>
      </c>
      <c r="B57" s="1">
        <v>71.86</v>
      </c>
      <c r="C57" s="1">
        <v>7.53</v>
      </c>
      <c r="D57" s="1">
        <v>17855.599999999999</v>
      </c>
      <c r="E57" s="1">
        <v>8.67</v>
      </c>
      <c r="F57" s="1">
        <v>71.77</v>
      </c>
      <c r="G57" s="1">
        <v>25.53</v>
      </c>
      <c r="H57" s="1">
        <v>3.05</v>
      </c>
      <c r="I57" s="1">
        <v>96.13</v>
      </c>
      <c r="J57" s="1">
        <v>78.06</v>
      </c>
      <c r="K57" s="1">
        <v>2.35</v>
      </c>
    </row>
    <row r="58" spans="1:11" x14ac:dyDescent="0.25">
      <c r="A58" s="1" t="s">
        <v>67</v>
      </c>
      <c r="B58" s="1">
        <v>74.34</v>
      </c>
      <c r="C58" s="1">
        <v>7.74</v>
      </c>
      <c r="D58" s="1">
        <v>37201.449999999997</v>
      </c>
      <c r="E58" s="1">
        <v>9.35</v>
      </c>
      <c r="F58" s="1">
        <v>83.05</v>
      </c>
      <c r="G58" s="1">
        <v>41.7</v>
      </c>
      <c r="H58" s="1">
        <v>4.3600000000000003</v>
      </c>
      <c r="I58" s="1">
        <v>94.29</v>
      </c>
      <c r="J58" s="1">
        <v>76.849999999999994</v>
      </c>
      <c r="K58" s="1">
        <v>5.01</v>
      </c>
    </row>
    <row r="59" spans="1:11" x14ac:dyDescent="0.25">
      <c r="A59" s="1" t="s">
        <v>68</v>
      </c>
      <c r="B59" s="1">
        <v>70.73</v>
      </c>
      <c r="C59" s="1">
        <v>7.08</v>
      </c>
      <c r="D59" s="1">
        <v>18693.22</v>
      </c>
      <c r="E59" s="1">
        <v>8.73</v>
      </c>
      <c r="F59" s="1">
        <v>65.92</v>
      </c>
      <c r="G59" s="1">
        <v>34.89</v>
      </c>
      <c r="H59" s="1">
        <v>5.29</v>
      </c>
      <c r="I59" s="1">
        <v>92.59</v>
      </c>
      <c r="J59" s="1">
        <v>77.91</v>
      </c>
      <c r="K59" s="1">
        <v>5.67</v>
      </c>
    </row>
    <row r="60" spans="1:11" x14ac:dyDescent="0.25">
      <c r="A60" s="1" t="s">
        <v>69</v>
      </c>
      <c r="B60" s="1">
        <v>71.95</v>
      </c>
      <c r="C60" s="1">
        <v>7.48</v>
      </c>
      <c r="D60" s="1">
        <v>19283.060000000001</v>
      </c>
      <c r="E60" s="1">
        <v>8.9499999999999993</v>
      </c>
      <c r="F60" s="1">
        <v>82.61</v>
      </c>
      <c r="G60" s="1">
        <v>29.66</v>
      </c>
      <c r="H60" s="1">
        <v>2.96</v>
      </c>
      <c r="I60" s="1">
        <v>92.87</v>
      </c>
      <c r="J60" s="1">
        <v>76.38</v>
      </c>
      <c r="K60" s="1">
        <v>3.3</v>
      </c>
    </row>
    <row r="61" spans="1:11" x14ac:dyDescent="0.25">
      <c r="A61" s="1" t="s">
        <v>70</v>
      </c>
      <c r="B61" s="1">
        <v>68.650000000000006</v>
      </c>
      <c r="C61" s="1">
        <v>6.56</v>
      </c>
      <c r="D61" s="1">
        <v>21778.06</v>
      </c>
      <c r="E61" s="1">
        <v>14.92</v>
      </c>
      <c r="F61" s="1">
        <v>84.32</v>
      </c>
      <c r="G61" s="1">
        <v>22.51</v>
      </c>
      <c r="H61" s="1">
        <v>4.34</v>
      </c>
      <c r="I61" s="1">
        <v>87.3</v>
      </c>
      <c r="J61" s="1">
        <v>72.239999999999995</v>
      </c>
      <c r="K61" s="1">
        <v>6.63</v>
      </c>
    </row>
    <row r="62" spans="1:11" x14ac:dyDescent="0.25">
      <c r="A62" s="1" t="s">
        <v>71</v>
      </c>
      <c r="B62" s="1">
        <v>71.7</v>
      </c>
      <c r="C62" s="1">
        <v>7.36</v>
      </c>
      <c r="D62" s="1">
        <v>29444.38</v>
      </c>
      <c r="E62" s="1">
        <v>6.81</v>
      </c>
      <c r="F62" s="1">
        <v>87.09</v>
      </c>
      <c r="G62" s="1">
        <v>36.450000000000003</v>
      </c>
      <c r="H62" s="1">
        <v>3.87</v>
      </c>
      <c r="I62" s="1">
        <v>88.72</v>
      </c>
      <c r="J62" s="1">
        <v>73.489999999999995</v>
      </c>
      <c r="K62" s="1">
        <v>7.53</v>
      </c>
    </row>
    <row r="63" spans="1:11" x14ac:dyDescent="0.25">
      <c r="A63" s="1" t="s">
        <v>72</v>
      </c>
      <c r="B63" s="1">
        <v>70.180000000000007</v>
      </c>
      <c r="C63" s="1">
        <v>6.41</v>
      </c>
      <c r="D63" s="1">
        <v>38546.980000000003</v>
      </c>
      <c r="E63" s="1">
        <v>15.6</v>
      </c>
      <c r="F63" s="1">
        <v>85.85</v>
      </c>
      <c r="G63" s="1">
        <v>19.309999999999999</v>
      </c>
      <c r="H63" s="1">
        <v>6.16</v>
      </c>
      <c r="I63" s="1">
        <v>87.54</v>
      </c>
      <c r="J63" s="1">
        <v>71.92</v>
      </c>
      <c r="K63" s="1">
        <v>8.35</v>
      </c>
    </row>
    <row r="64" spans="1:11" x14ac:dyDescent="0.25">
      <c r="A64" s="1" t="s">
        <v>73</v>
      </c>
      <c r="B64" s="1">
        <v>82.15</v>
      </c>
      <c r="C64" s="1">
        <v>11.43</v>
      </c>
      <c r="D64" s="1">
        <v>7668.79</v>
      </c>
      <c r="E64" s="1">
        <v>5.94</v>
      </c>
      <c r="F64" s="1">
        <v>88.55</v>
      </c>
      <c r="G64" s="1">
        <v>16.489999999999998</v>
      </c>
      <c r="H64" s="1">
        <v>4.09</v>
      </c>
      <c r="I64" s="1">
        <v>96.66</v>
      </c>
      <c r="J64" s="1">
        <v>67.66</v>
      </c>
      <c r="K64" s="1">
        <v>4.4000000000000004</v>
      </c>
    </row>
    <row r="65" spans="1:11" x14ac:dyDescent="0.25">
      <c r="A65" s="1" t="s">
        <v>74</v>
      </c>
      <c r="B65" s="1">
        <v>84.41</v>
      </c>
      <c r="C65" s="1">
        <v>11.25</v>
      </c>
      <c r="D65" s="1">
        <v>42897.32</v>
      </c>
      <c r="E65" s="1">
        <v>8.31</v>
      </c>
      <c r="F65" s="1">
        <v>85.07</v>
      </c>
      <c r="G65" s="1">
        <v>8.5500000000000007</v>
      </c>
      <c r="H65" s="1">
        <v>2.86</v>
      </c>
      <c r="I65" s="1">
        <v>97.43</v>
      </c>
      <c r="J65" s="1">
        <v>67.42</v>
      </c>
      <c r="K65" s="1">
        <v>4.6100000000000003</v>
      </c>
    </row>
    <row r="66" spans="1:11" x14ac:dyDescent="0.25">
      <c r="A66" s="1" t="s">
        <v>75</v>
      </c>
      <c r="B66" s="1">
        <v>85.72</v>
      </c>
      <c r="C66" s="1">
        <v>11.48</v>
      </c>
      <c r="D66" s="1">
        <v>11505.05</v>
      </c>
      <c r="E66" s="1">
        <v>4.57</v>
      </c>
      <c r="F66" s="1">
        <v>96.28</v>
      </c>
      <c r="G66" s="1">
        <v>33.14</v>
      </c>
      <c r="H66" s="1">
        <v>3.77</v>
      </c>
      <c r="I66" s="1">
        <v>95.49</v>
      </c>
      <c r="J66" s="1">
        <v>70.72</v>
      </c>
      <c r="K66" s="1">
        <v>3.86</v>
      </c>
    </row>
    <row r="67" spans="1:11" x14ac:dyDescent="0.25">
      <c r="A67" s="1" t="s">
        <v>76</v>
      </c>
      <c r="B67" s="1">
        <v>85.24</v>
      </c>
      <c r="C67" s="1">
        <v>11.05</v>
      </c>
      <c r="D67" s="1">
        <v>170947.72</v>
      </c>
      <c r="E67" s="1">
        <v>4.03</v>
      </c>
      <c r="F67" s="1">
        <v>95.83</v>
      </c>
      <c r="G67" s="1">
        <v>28.35</v>
      </c>
      <c r="H67" s="1">
        <v>2.4300000000000002</v>
      </c>
      <c r="I67" s="1">
        <v>96.28</v>
      </c>
      <c r="J67" s="1">
        <v>69.88</v>
      </c>
      <c r="K67" s="1">
        <v>5.82</v>
      </c>
    </row>
    <row r="68" spans="1:11" x14ac:dyDescent="0.25">
      <c r="A68" s="1" t="s">
        <v>77</v>
      </c>
      <c r="B68" s="1">
        <v>77.209999999999994</v>
      </c>
      <c r="C68" s="1">
        <v>9.34</v>
      </c>
      <c r="D68" s="1">
        <v>8928.7999999999993</v>
      </c>
      <c r="E68" s="1">
        <v>6.71</v>
      </c>
      <c r="F68" s="1">
        <v>89.38</v>
      </c>
      <c r="G68" s="1">
        <v>19.86</v>
      </c>
      <c r="H68" s="1">
        <v>0.79</v>
      </c>
      <c r="I68" s="1">
        <v>95.49</v>
      </c>
      <c r="J68" s="1">
        <v>76.06</v>
      </c>
      <c r="K68" s="1">
        <v>4.91</v>
      </c>
    </row>
    <row r="69" spans="1:11" x14ac:dyDescent="0.25">
      <c r="A69" s="1" t="s">
        <v>78</v>
      </c>
      <c r="B69" s="1">
        <v>77.5</v>
      </c>
      <c r="C69" s="1">
        <v>9.2799999999999994</v>
      </c>
      <c r="D69" s="1">
        <v>13119.7</v>
      </c>
      <c r="E69" s="1">
        <v>7.64</v>
      </c>
      <c r="F69" s="1">
        <v>92.48</v>
      </c>
      <c r="G69" s="1">
        <v>16.68</v>
      </c>
      <c r="H69" s="1">
        <v>5.19</v>
      </c>
      <c r="I69" s="1">
        <v>93.92</v>
      </c>
      <c r="J69" s="1">
        <v>69.61</v>
      </c>
      <c r="K69" s="1">
        <v>5.88</v>
      </c>
    </row>
    <row r="70" spans="1:11" x14ac:dyDescent="0.25">
      <c r="A70" s="1" t="s">
        <v>79</v>
      </c>
      <c r="B70" s="1">
        <v>76.180000000000007</v>
      </c>
      <c r="C70" s="1">
        <v>9.1999999999999993</v>
      </c>
      <c r="D70" s="1">
        <v>10426.23</v>
      </c>
      <c r="E70" s="1">
        <v>15.62</v>
      </c>
      <c r="F70" s="1">
        <v>97.16</v>
      </c>
      <c r="G70" s="1">
        <v>10.11</v>
      </c>
      <c r="H70" s="1">
        <v>4.33</v>
      </c>
      <c r="I70" s="1">
        <v>95.86</v>
      </c>
      <c r="J70" s="1">
        <v>78.569999999999993</v>
      </c>
      <c r="K70" s="1">
        <v>2.0099999999999998</v>
      </c>
    </row>
    <row r="71" spans="1:11" x14ac:dyDescent="0.25">
      <c r="A71" s="1" t="s">
        <v>80</v>
      </c>
      <c r="B71" s="1">
        <v>82.05</v>
      </c>
      <c r="C71" s="1">
        <v>9.81</v>
      </c>
      <c r="D71" s="1">
        <v>22964.66</v>
      </c>
      <c r="E71" s="1">
        <v>11.66</v>
      </c>
      <c r="F71" s="1">
        <v>96.46</v>
      </c>
      <c r="G71" s="1">
        <v>14.08</v>
      </c>
      <c r="H71" s="1">
        <v>3.75</v>
      </c>
      <c r="I71" s="1">
        <v>96.05</v>
      </c>
      <c r="J71" s="1">
        <v>74.87</v>
      </c>
      <c r="K71" s="1">
        <v>3.62</v>
      </c>
    </row>
    <row r="72" spans="1:11" x14ac:dyDescent="0.25">
      <c r="A72" s="1" t="s">
        <v>81</v>
      </c>
      <c r="B72" s="1">
        <v>72.14</v>
      </c>
      <c r="C72" s="1">
        <v>7.35</v>
      </c>
      <c r="D72" s="1">
        <v>16506.419999999998</v>
      </c>
      <c r="E72" s="1">
        <v>15.18</v>
      </c>
      <c r="F72" s="1">
        <v>97.63</v>
      </c>
      <c r="G72" s="1">
        <v>8.3800000000000008</v>
      </c>
      <c r="H72" s="1">
        <v>3.76</v>
      </c>
      <c r="I72" s="1">
        <v>87.13</v>
      </c>
      <c r="J72" s="1">
        <v>76.87</v>
      </c>
      <c r="K72" s="1">
        <v>2.16</v>
      </c>
    </row>
    <row r="73" spans="1:11" x14ac:dyDescent="0.25">
      <c r="A73" s="1" t="s">
        <v>82</v>
      </c>
      <c r="B73" s="1">
        <v>85.71</v>
      </c>
      <c r="C73" s="1">
        <v>11.33</v>
      </c>
      <c r="D73" s="1">
        <v>41560</v>
      </c>
      <c r="E73" s="1">
        <v>7.46</v>
      </c>
      <c r="F73" s="1">
        <v>96.43</v>
      </c>
      <c r="G73" s="1">
        <v>12.37</v>
      </c>
      <c r="H73" s="1">
        <v>2.88</v>
      </c>
      <c r="I73" s="1">
        <v>97.11</v>
      </c>
      <c r="J73" s="1">
        <v>73.27</v>
      </c>
      <c r="K73" s="1">
        <v>4.13</v>
      </c>
    </row>
    <row r="74" spans="1:11" x14ac:dyDescent="0.25">
      <c r="A74" s="1" t="s">
        <v>83</v>
      </c>
      <c r="B74" s="1">
        <v>89.1</v>
      </c>
      <c r="C74" s="1">
        <v>12.12</v>
      </c>
      <c r="D74" s="1">
        <v>32964.35</v>
      </c>
      <c r="E74" s="1">
        <v>6.26</v>
      </c>
      <c r="F74" s="1">
        <v>96.27</v>
      </c>
      <c r="G74" s="1">
        <v>12.02</v>
      </c>
      <c r="H74" s="1">
        <v>3.51</v>
      </c>
      <c r="I74" s="1">
        <v>99.25</v>
      </c>
      <c r="J74" s="1">
        <v>70.56</v>
      </c>
      <c r="K74" s="1">
        <v>5.8</v>
      </c>
    </row>
    <row r="75" spans="1:11" x14ac:dyDescent="0.25">
      <c r="A75" s="1" t="s">
        <v>84</v>
      </c>
      <c r="B75" s="1">
        <v>71.489999999999995</v>
      </c>
      <c r="C75" s="1">
        <v>7.9</v>
      </c>
      <c r="D75" s="1">
        <v>12775.8</v>
      </c>
      <c r="E75" s="1">
        <v>13.08</v>
      </c>
      <c r="F75" s="1">
        <v>81.260000000000005</v>
      </c>
      <c r="G75" s="1">
        <v>7.71</v>
      </c>
      <c r="H75" s="1">
        <v>7.14</v>
      </c>
      <c r="I75" s="1">
        <v>87.11</v>
      </c>
      <c r="J75" s="1">
        <v>86.62</v>
      </c>
      <c r="K75" s="1">
        <v>1.56</v>
      </c>
    </row>
    <row r="76" spans="1:11" x14ac:dyDescent="0.25">
      <c r="A76" s="1" t="s">
        <v>85</v>
      </c>
      <c r="B76" s="1">
        <v>73.7</v>
      </c>
      <c r="C76" s="1">
        <v>7.8</v>
      </c>
      <c r="D76" s="1">
        <v>16622.8</v>
      </c>
      <c r="E76" s="1">
        <v>9.11</v>
      </c>
      <c r="F76" s="1">
        <v>92.57</v>
      </c>
      <c r="G76" s="1">
        <v>9.6199999999999992</v>
      </c>
      <c r="H76" s="1">
        <v>7.49</v>
      </c>
      <c r="I76" s="1">
        <v>95.16</v>
      </c>
      <c r="J76" s="1">
        <v>78.75</v>
      </c>
      <c r="K76" s="1">
        <v>4.1900000000000004</v>
      </c>
    </row>
    <row r="77" spans="1:11" x14ac:dyDescent="0.25">
      <c r="A77" s="1" t="s">
        <v>86</v>
      </c>
      <c r="B77" s="1">
        <v>72.47</v>
      </c>
      <c r="C77" s="1">
        <v>7.92</v>
      </c>
      <c r="D77" s="1">
        <v>14881.6</v>
      </c>
      <c r="E77" s="1">
        <v>10.5</v>
      </c>
      <c r="F77" s="1">
        <v>84.66</v>
      </c>
      <c r="G77" s="1">
        <v>19.420000000000002</v>
      </c>
      <c r="H77" s="1">
        <v>6.68</v>
      </c>
      <c r="I77" s="1">
        <v>93.2</v>
      </c>
      <c r="J77" s="1">
        <v>80.08</v>
      </c>
      <c r="K77" s="1">
        <v>3.9</v>
      </c>
    </row>
    <row r="78" spans="1:11" x14ac:dyDescent="0.25">
      <c r="A78" s="1" t="s">
        <v>87</v>
      </c>
      <c r="B78" s="1">
        <v>75.13</v>
      </c>
      <c r="C78" s="1">
        <v>8.68</v>
      </c>
      <c r="D78" s="1">
        <v>31703.9</v>
      </c>
      <c r="E78" s="1">
        <v>6.28</v>
      </c>
      <c r="F78" s="1">
        <v>87.76</v>
      </c>
      <c r="G78" s="1">
        <v>24.16</v>
      </c>
      <c r="H78" s="1">
        <v>7.11</v>
      </c>
      <c r="I78" s="1">
        <v>95.99</v>
      </c>
      <c r="J78" s="1">
        <v>75.569999999999993</v>
      </c>
      <c r="K78" s="1">
        <v>4.12</v>
      </c>
    </row>
    <row r="79" spans="1:11" x14ac:dyDescent="0.25">
      <c r="A79" s="1" t="s">
        <v>88</v>
      </c>
      <c r="B79" s="1">
        <v>73.44</v>
      </c>
      <c r="C79" s="1">
        <v>7.87</v>
      </c>
      <c r="D79" s="1">
        <v>29493.8</v>
      </c>
      <c r="E79" s="1">
        <v>8.16</v>
      </c>
      <c r="F79" s="1">
        <v>86.16</v>
      </c>
      <c r="G79" s="1">
        <v>15.46</v>
      </c>
      <c r="H79" s="1">
        <v>6.62</v>
      </c>
      <c r="I79" s="1">
        <v>94.1</v>
      </c>
      <c r="J79" s="1">
        <v>72.36</v>
      </c>
      <c r="K79" s="1">
        <v>4.7699999999999996</v>
      </c>
    </row>
    <row r="80" spans="1:11" x14ac:dyDescent="0.25">
      <c r="A80" s="1" t="s">
        <v>89</v>
      </c>
      <c r="B80" s="1">
        <v>75.180000000000007</v>
      </c>
      <c r="C80" s="1">
        <v>8.26</v>
      </c>
      <c r="D80" s="1">
        <v>33787.599999999999</v>
      </c>
      <c r="E80" s="1">
        <v>9.9499999999999993</v>
      </c>
      <c r="F80" s="1">
        <v>94.94</v>
      </c>
      <c r="G80" s="1">
        <v>23.06</v>
      </c>
      <c r="H80" s="1">
        <v>7.85</v>
      </c>
      <c r="I80" s="1">
        <v>94.01</v>
      </c>
      <c r="J80" s="1">
        <v>71.31</v>
      </c>
      <c r="K80" s="1">
        <v>5.0999999999999996</v>
      </c>
    </row>
    <row r="81" spans="1:11" x14ac:dyDescent="0.25">
      <c r="A81" s="1" t="s">
        <v>90</v>
      </c>
      <c r="B81" s="1">
        <v>73.53</v>
      </c>
      <c r="C81" s="1">
        <v>7.8</v>
      </c>
      <c r="D81" s="1">
        <v>79500.899999999994</v>
      </c>
      <c r="E81" s="1">
        <v>8.98</v>
      </c>
      <c r="F81" s="1">
        <v>86.74</v>
      </c>
      <c r="G81" s="1">
        <v>32.71</v>
      </c>
      <c r="H81" s="1">
        <v>4.68</v>
      </c>
      <c r="I81" s="1">
        <v>89.53</v>
      </c>
      <c r="J81" s="1">
        <v>72.900000000000006</v>
      </c>
      <c r="K81" s="1">
        <v>5.13</v>
      </c>
    </row>
    <row r="82" spans="1:11" x14ac:dyDescent="0.25">
      <c r="A82" s="1" t="s">
        <v>91</v>
      </c>
      <c r="B82" s="1">
        <v>70.31</v>
      </c>
      <c r="C82" s="1">
        <v>7.27</v>
      </c>
      <c r="D82" s="1">
        <v>25929.9</v>
      </c>
      <c r="E82" s="1">
        <v>8.65</v>
      </c>
      <c r="F82" s="1">
        <v>82.45</v>
      </c>
      <c r="G82" s="1">
        <v>23.29</v>
      </c>
      <c r="H82" s="1">
        <v>7.66</v>
      </c>
      <c r="I82" s="1">
        <v>90.16</v>
      </c>
      <c r="J82" s="1">
        <v>70.86</v>
      </c>
      <c r="K82" s="1">
        <v>3.28</v>
      </c>
    </row>
    <row r="83" spans="1:11" x14ac:dyDescent="0.25">
      <c r="A83" s="1" t="s">
        <v>92</v>
      </c>
      <c r="B83" s="1">
        <v>70.930000000000007</v>
      </c>
      <c r="C83" s="1">
        <v>6.54</v>
      </c>
      <c r="D83" s="1">
        <v>62897.2</v>
      </c>
      <c r="E83" s="1">
        <v>9.01</v>
      </c>
      <c r="F83" s="1">
        <v>67.459999999999994</v>
      </c>
      <c r="G83" s="1">
        <v>21.01</v>
      </c>
      <c r="H83" s="1">
        <v>5.59</v>
      </c>
      <c r="I83" s="1">
        <v>86.35</v>
      </c>
      <c r="J83" s="1">
        <v>73.760000000000005</v>
      </c>
      <c r="K83" s="1">
        <v>3.23</v>
      </c>
    </row>
    <row r="84" spans="1:11" x14ac:dyDescent="0.25">
      <c r="A84" s="1" t="s">
        <v>93</v>
      </c>
      <c r="B84" s="1">
        <v>74.3</v>
      </c>
      <c r="C84" s="1">
        <v>7.78</v>
      </c>
      <c r="D84" s="1">
        <v>63693.599999999999</v>
      </c>
      <c r="E84" s="1">
        <v>6.54</v>
      </c>
      <c r="F84" s="1">
        <v>86.22</v>
      </c>
      <c r="G84" s="1">
        <v>12.94</v>
      </c>
      <c r="H84" s="1">
        <v>7.05</v>
      </c>
      <c r="I84" s="1">
        <v>88.09</v>
      </c>
      <c r="J84" s="1">
        <v>75.36</v>
      </c>
      <c r="K84" s="1">
        <v>4.03</v>
      </c>
    </row>
    <row r="85" spans="1:11" x14ac:dyDescent="0.25">
      <c r="A85" s="1" t="s">
        <v>94</v>
      </c>
      <c r="B85" s="1">
        <v>71.22</v>
      </c>
      <c r="C85" s="1">
        <v>6.53</v>
      </c>
      <c r="D85" s="1">
        <v>15809.3</v>
      </c>
      <c r="E85" s="1">
        <v>12.6</v>
      </c>
      <c r="F85" s="1">
        <v>62.1</v>
      </c>
      <c r="G85" s="1">
        <v>25.21</v>
      </c>
      <c r="H85" s="1">
        <v>4.4800000000000004</v>
      </c>
      <c r="I85" s="1">
        <v>91.49</v>
      </c>
      <c r="J85" s="1">
        <v>75.099999999999994</v>
      </c>
      <c r="K85" s="1">
        <v>3.63</v>
      </c>
    </row>
    <row r="86" spans="1:11" x14ac:dyDescent="0.25">
      <c r="A86" s="1" t="s">
        <v>95</v>
      </c>
      <c r="B86" s="1">
        <v>71.22</v>
      </c>
      <c r="C86" s="1">
        <v>6.93</v>
      </c>
      <c r="D86" s="1">
        <v>15741.8</v>
      </c>
      <c r="E86" s="1">
        <v>11.51</v>
      </c>
      <c r="F86" s="1">
        <v>62.66</v>
      </c>
      <c r="G86" s="1">
        <v>20.97</v>
      </c>
      <c r="H86" s="1">
        <v>6.7</v>
      </c>
      <c r="I86" s="1">
        <v>87.99</v>
      </c>
      <c r="J86" s="1">
        <v>76.66</v>
      </c>
      <c r="K86" s="1">
        <v>3.15</v>
      </c>
    </row>
    <row r="87" spans="1:11" x14ac:dyDescent="0.25">
      <c r="A87" s="1" t="s">
        <v>96</v>
      </c>
      <c r="B87" s="1">
        <v>70.849999999999994</v>
      </c>
      <c r="C87" s="1">
        <v>6.31</v>
      </c>
      <c r="D87" s="1">
        <v>27153.1</v>
      </c>
      <c r="E87" s="1">
        <v>16.45</v>
      </c>
      <c r="F87" s="1">
        <v>66.39</v>
      </c>
      <c r="G87" s="1">
        <v>27.36</v>
      </c>
      <c r="H87" s="1">
        <v>7.16</v>
      </c>
      <c r="I87" s="1">
        <v>87.11</v>
      </c>
      <c r="J87" s="1">
        <v>73.180000000000007</v>
      </c>
      <c r="K87" s="1">
        <v>3</v>
      </c>
    </row>
    <row r="88" spans="1:11" x14ac:dyDescent="0.25">
      <c r="A88" s="1" t="s">
        <v>97</v>
      </c>
      <c r="B88" s="1">
        <v>72.36</v>
      </c>
      <c r="C88" s="1">
        <v>7.46</v>
      </c>
      <c r="D88" s="1">
        <v>125622.8</v>
      </c>
      <c r="E88" s="1">
        <v>8.6300000000000008</v>
      </c>
      <c r="F88" s="1">
        <v>86.36</v>
      </c>
      <c r="G88" s="1">
        <v>60.65</v>
      </c>
      <c r="H88" s="1">
        <v>5.47</v>
      </c>
      <c r="I88" s="1">
        <v>91.94</v>
      </c>
      <c r="J88" s="1">
        <v>75.31</v>
      </c>
      <c r="K88" s="1">
        <v>5.0199999999999996</v>
      </c>
    </row>
    <row r="89" spans="1:11" x14ac:dyDescent="0.25">
      <c r="A89" s="1" t="s">
        <v>98</v>
      </c>
      <c r="B89" s="1">
        <v>82.67</v>
      </c>
      <c r="C89" s="1">
        <v>10.91</v>
      </c>
      <c r="D89" s="1">
        <v>169867.8</v>
      </c>
      <c r="E89" s="1">
        <v>4.53</v>
      </c>
      <c r="F89" s="1">
        <v>97.95</v>
      </c>
      <c r="G89" s="1">
        <v>48.57</v>
      </c>
      <c r="H89" s="1">
        <v>5.18</v>
      </c>
      <c r="I89" s="1">
        <v>95.45</v>
      </c>
      <c r="J89" s="1">
        <v>68.37</v>
      </c>
      <c r="K89" s="1">
        <v>6.49</v>
      </c>
    </row>
    <row r="90" spans="1:11" x14ac:dyDescent="0.25">
      <c r="A90" s="1" t="s">
        <v>99</v>
      </c>
      <c r="B90" s="1">
        <v>76.69</v>
      </c>
      <c r="C90" s="1">
        <v>9.1300000000000008</v>
      </c>
      <c r="D90" s="1">
        <v>70527.7</v>
      </c>
      <c r="E90" s="1">
        <v>9.3699999999999992</v>
      </c>
      <c r="F90" s="1">
        <v>91.14</v>
      </c>
      <c r="G90" s="1">
        <v>57.93</v>
      </c>
      <c r="H90" s="1">
        <v>5.89</v>
      </c>
      <c r="I90" s="1">
        <v>92.41</v>
      </c>
      <c r="J90" s="1">
        <v>73.94</v>
      </c>
      <c r="K90" s="1">
        <v>3.87</v>
      </c>
    </row>
    <row r="91" spans="1:11" x14ac:dyDescent="0.25">
      <c r="A91" s="1" t="s">
        <v>100</v>
      </c>
      <c r="B91" s="1">
        <v>75.67</v>
      </c>
      <c r="C91" s="1">
        <v>8.7799999999999994</v>
      </c>
      <c r="D91" s="1">
        <v>33230.5</v>
      </c>
      <c r="E91" s="1">
        <v>8.6</v>
      </c>
      <c r="F91" s="1">
        <v>96.13</v>
      </c>
      <c r="G91" s="1">
        <v>22.24</v>
      </c>
      <c r="H91" s="1">
        <v>6.65</v>
      </c>
      <c r="I91" s="1">
        <v>91.32</v>
      </c>
      <c r="J91" s="1">
        <v>71.88</v>
      </c>
      <c r="K91" s="1">
        <v>3.75</v>
      </c>
    </row>
    <row r="92" spans="1:11" x14ac:dyDescent="0.25">
      <c r="A92" s="1" t="s">
        <v>101</v>
      </c>
      <c r="B92" s="1">
        <v>75.239999999999995</v>
      </c>
      <c r="C92" s="1">
        <v>8.25</v>
      </c>
      <c r="D92" s="1">
        <v>21614.9</v>
      </c>
      <c r="E92" s="1">
        <v>10.17</v>
      </c>
      <c r="F92" s="1">
        <v>90.96</v>
      </c>
      <c r="G92" s="1">
        <v>16.309999999999999</v>
      </c>
      <c r="H92" s="1">
        <v>6.67</v>
      </c>
      <c r="I92" s="1">
        <v>94.92</v>
      </c>
      <c r="J92" s="1">
        <v>69.790000000000006</v>
      </c>
      <c r="K92" s="1">
        <v>3.87</v>
      </c>
    </row>
    <row r="93" spans="1:11" x14ac:dyDescent="0.25">
      <c r="A93" s="1" t="s">
        <v>102</v>
      </c>
      <c r="B93" s="1">
        <v>74.81</v>
      </c>
      <c r="C93" s="1">
        <v>8.1999999999999993</v>
      </c>
      <c r="D93" s="1">
        <v>15593.2</v>
      </c>
      <c r="E93" s="1">
        <v>10.63</v>
      </c>
      <c r="F93" s="1">
        <v>91.47</v>
      </c>
      <c r="G93" s="1">
        <v>14.57</v>
      </c>
      <c r="H93" s="1">
        <v>5.01</v>
      </c>
      <c r="I93" s="1">
        <v>93.33</v>
      </c>
      <c r="J93" s="1">
        <v>72.34</v>
      </c>
      <c r="K93" s="1">
        <v>4.34</v>
      </c>
    </row>
    <row r="94" spans="1:11" x14ac:dyDescent="0.25">
      <c r="A94" s="1" t="s">
        <v>103</v>
      </c>
      <c r="B94" s="1">
        <v>76.77</v>
      </c>
      <c r="C94" s="1">
        <v>8.69</v>
      </c>
      <c r="D94" s="1">
        <v>15259.9</v>
      </c>
      <c r="E94" s="1">
        <v>9.32</v>
      </c>
      <c r="F94" s="1">
        <v>89.99</v>
      </c>
      <c r="G94" s="1">
        <v>12.28</v>
      </c>
      <c r="H94" s="1">
        <v>4.5</v>
      </c>
      <c r="I94" s="1">
        <v>95.05</v>
      </c>
      <c r="J94" s="1">
        <v>77.040000000000006</v>
      </c>
      <c r="K94" s="1">
        <v>3.28</v>
      </c>
    </row>
    <row r="95" spans="1:11" x14ac:dyDescent="0.25">
      <c r="A95" s="1" t="s">
        <v>104</v>
      </c>
      <c r="B95" s="1">
        <v>73.91</v>
      </c>
      <c r="C95" s="1">
        <v>7.84</v>
      </c>
      <c r="D95" s="1">
        <v>15596</v>
      </c>
      <c r="E95" s="1">
        <v>13.81</v>
      </c>
      <c r="F95" s="1">
        <v>82.99</v>
      </c>
      <c r="G95" s="1">
        <v>10.11</v>
      </c>
      <c r="H95" s="1">
        <v>6.09</v>
      </c>
      <c r="I95" s="1">
        <v>93.79</v>
      </c>
      <c r="J95" s="1">
        <v>75.73</v>
      </c>
      <c r="K95" s="1">
        <v>2.4</v>
      </c>
    </row>
    <row r="96" spans="1:11" x14ac:dyDescent="0.25">
      <c r="A96" s="1" t="s">
        <v>105</v>
      </c>
      <c r="B96" s="1">
        <v>72.75</v>
      </c>
      <c r="C96" s="1">
        <v>7.59</v>
      </c>
      <c r="D96" s="1">
        <v>64367.4</v>
      </c>
      <c r="E96" s="1">
        <v>11.69</v>
      </c>
      <c r="F96" s="1">
        <v>96.43</v>
      </c>
      <c r="G96" s="1">
        <v>6.95</v>
      </c>
      <c r="H96" s="1">
        <v>8.7200000000000006</v>
      </c>
      <c r="I96" s="1">
        <v>92.22</v>
      </c>
      <c r="J96" s="1">
        <v>73.86</v>
      </c>
      <c r="K96" s="1">
        <v>4.42</v>
      </c>
    </row>
    <row r="97" spans="1:11" x14ac:dyDescent="0.25">
      <c r="A97" s="1" t="s">
        <v>106</v>
      </c>
      <c r="B97" s="1">
        <v>72.31</v>
      </c>
      <c r="C97" s="1">
        <v>7.53</v>
      </c>
      <c r="D97" s="1">
        <v>51913.4</v>
      </c>
      <c r="E97" s="1">
        <v>14.36</v>
      </c>
      <c r="F97" s="1">
        <v>85.12</v>
      </c>
      <c r="G97" s="1">
        <v>30.21</v>
      </c>
      <c r="H97" s="1">
        <v>1.83</v>
      </c>
      <c r="I97" s="1">
        <v>89.59</v>
      </c>
      <c r="J97" s="1">
        <v>74.55</v>
      </c>
      <c r="K97" s="1">
        <v>4.28</v>
      </c>
    </row>
    <row r="98" spans="1:11" x14ac:dyDescent="0.25">
      <c r="A98" s="1" t="s">
        <v>107</v>
      </c>
      <c r="B98" s="1">
        <v>75.900000000000006</v>
      </c>
      <c r="C98" s="1">
        <v>8.48</v>
      </c>
      <c r="D98" s="1">
        <v>32186</v>
      </c>
      <c r="E98" s="1">
        <v>12.16</v>
      </c>
      <c r="F98" s="1">
        <v>95.88</v>
      </c>
      <c r="G98" s="1">
        <v>12.23</v>
      </c>
      <c r="H98" s="1">
        <v>7.66</v>
      </c>
      <c r="I98" s="1">
        <v>90.7</v>
      </c>
      <c r="J98" s="1">
        <v>74.8</v>
      </c>
      <c r="K98" s="1">
        <v>4.34</v>
      </c>
    </row>
    <row r="99" spans="1:11" x14ac:dyDescent="0.25">
      <c r="A99" s="1" t="s">
        <v>108</v>
      </c>
      <c r="B99" s="1">
        <v>78.930000000000007</v>
      </c>
      <c r="C99" s="1">
        <v>10.029999999999999</v>
      </c>
      <c r="D99" s="1">
        <v>119274.4</v>
      </c>
      <c r="E99" s="1">
        <v>10.32</v>
      </c>
      <c r="F99" s="1">
        <v>93.22</v>
      </c>
      <c r="G99" s="1">
        <v>51.25</v>
      </c>
      <c r="H99" s="1">
        <v>6.32</v>
      </c>
      <c r="I99" s="1">
        <v>91.63</v>
      </c>
      <c r="J99" s="1">
        <v>71.61</v>
      </c>
      <c r="K99" s="1">
        <v>6.45</v>
      </c>
    </row>
    <row r="100" spans="1:11" x14ac:dyDescent="0.25">
      <c r="A100" s="1" t="s">
        <v>109</v>
      </c>
      <c r="B100" s="1">
        <v>67.33</v>
      </c>
      <c r="C100" s="1">
        <v>6.01</v>
      </c>
      <c r="D100" s="1">
        <v>17497.5</v>
      </c>
      <c r="E100" s="1">
        <v>18.66</v>
      </c>
      <c r="F100" s="1">
        <v>50.31</v>
      </c>
      <c r="G100" s="1">
        <v>3.04</v>
      </c>
      <c r="H100" s="1">
        <v>9.15</v>
      </c>
      <c r="I100" s="1">
        <v>88.09</v>
      </c>
      <c r="J100" s="1">
        <v>70.48</v>
      </c>
      <c r="K100" s="1">
        <v>5.35</v>
      </c>
    </row>
    <row r="101" spans="1:11" x14ac:dyDescent="0.25">
      <c r="A101" s="1" t="s">
        <v>110</v>
      </c>
      <c r="B101" s="1">
        <v>66.72</v>
      </c>
      <c r="C101" s="1">
        <v>5.08</v>
      </c>
      <c r="D101" s="1">
        <v>14925.3</v>
      </c>
      <c r="E101" s="1">
        <v>20.83</v>
      </c>
      <c r="F101" s="1">
        <v>87.24</v>
      </c>
      <c r="G101" s="1">
        <v>4.18</v>
      </c>
      <c r="H101" s="1">
        <v>7.54</v>
      </c>
      <c r="I101" s="1">
        <v>87.52</v>
      </c>
      <c r="J101" s="1">
        <v>73.62</v>
      </c>
      <c r="K101" s="1">
        <v>2.5</v>
      </c>
    </row>
    <row r="102" spans="1:11" x14ac:dyDescent="0.25">
      <c r="A102" s="1" t="s">
        <v>111</v>
      </c>
      <c r="B102" s="1">
        <v>70.849999999999994</v>
      </c>
      <c r="C102" s="1">
        <v>7.17</v>
      </c>
      <c r="D102" s="1">
        <v>13245.3</v>
      </c>
      <c r="E102" s="1">
        <v>13.41</v>
      </c>
      <c r="F102" s="1">
        <v>72.94</v>
      </c>
      <c r="G102" s="1">
        <v>7.74</v>
      </c>
      <c r="H102" s="1">
        <v>6.32</v>
      </c>
      <c r="I102" s="1">
        <v>87.6</v>
      </c>
      <c r="J102" s="1">
        <v>79.13</v>
      </c>
      <c r="K102" s="1">
        <v>1.64</v>
      </c>
    </row>
    <row r="103" spans="1:11" x14ac:dyDescent="0.25">
      <c r="A103" s="1" t="s">
        <v>112</v>
      </c>
      <c r="B103" s="1">
        <v>69.78</v>
      </c>
      <c r="C103" s="1">
        <v>6.1</v>
      </c>
      <c r="D103" s="1">
        <v>27234.400000000001</v>
      </c>
      <c r="E103" s="1">
        <v>17.78</v>
      </c>
      <c r="F103" s="1">
        <v>73.31</v>
      </c>
      <c r="G103" s="1">
        <v>6.73</v>
      </c>
      <c r="H103" s="1">
        <v>8.26</v>
      </c>
      <c r="I103" s="1">
        <v>83.03</v>
      </c>
      <c r="J103" s="1">
        <v>78.16</v>
      </c>
      <c r="K103" s="1">
        <v>1.69</v>
      </c>
    </row>
    <row r="104" spans="1:11" x14ac:dyDescent="0.25">
      <c r="A104" s="1" t="s">
        <v>113</v>
      </c>
      <c r="B104" s="1">
        <v>81.88</v>
      </c>
      <c r="C104" s="1">
        <v>10.92</v>
      </c>
      <c r="D104" s="1">
        <v>94774.1</v>
      </c>
      <c r="E104" s="1">
        <v>6.51</v>
      </c>
      <c r="F104" s="1">
        <v>95.39</v>
      </c>
      <c r="G104" s="1">
        <v>79.64</v>
      </c>
      <c r="H104" s="1">
        <v>2.94</v>
      </c>
      <c r="I104" s="1">
        <v>95.99</v>
      </c>
      <c r="J104" s="1">
        <v>70.739999999999995</v>
      </c>
      <c r="K104" s="1">
        <v>3.91</v>
      </c>
    </row>
    <row r="105" spans="1:11" x14ac:dyDescent="0.25">
      <c r="A105" s="1" t="s">
        <v>114</v>
      </c>
      <c r="B105" s="1">
        <v>81.44</v>
      </c>
      <c r="C105" s="1">
        <v>10.82</v>
      </c>
      <c r="D105" s="1">
        <v>5746.4</v>
      </c>
      <c r="E105" s="1">
        <v>6.75</v>
      </c>
      <c r="F105" s="1">
        <v>95.93</v>
      </c>
      <c r="G105" s="1">
        <v>9.9</v>
      </c>
      <c r="H105" s="1">
        <v>5.1100000000000003</v>
      </c>
      <c r="I105" s="1">
        <v>98.03</v>
      </c>
      <c r="J105" s="1">
        <v>70.44</v>
      </c>
      <c r="K105" s="1">
        <v>5.1100000000000003</v>
      </c>
    </row>
    <row r="106" spans="1:11" x14ac:dyDescent="0.25">
      <c r="A106" s="1" t="s">
        <v>115</v>
      </c>
      <c r="B106" s="1">
        <v>84.68</v>
      </c>
      <c r="C106" s="1">
        <v>11.14</v>
      </c>
      <c r="D106" s="1">
        <v>63373.3</v>
      </c>
      <c r="E106" s="1">
        <v>3.91</v>
      </c>
      <c r="F106" s="1">
        <v>87.84</v>
      </c>
      <c r="G106" s="1">
        <v>27.09</v>
      </c>
      <c r="H106" s="1">
        <v>5.13</v>
      </c>
      <c r="I106" s="1">
        <v>97.02</v>
      </c>
      <c r="J106" s="1">
        <v>67.52</v>
      </c>
      <c r="K106" s="1">
        <v>6.1</v>
      </c>
    </row>
    <row r="107" spans="1:11" x14ac:dyDescent="0.25">
      <c r="A107" s="1" t="s">
        <v>116</v>
      </c>
      <c r="B107" s="1">
        <v>77.790000000000006</v>
      </c>
      <c r="C107" s="1">
        <v>9.7200000000000006</v>
      </c>
      <c r="D107" s="1">
        <v>9893.2999999999993</v>
      </c>
      <c r="E107" s="1">
        <v>6.18</v>
      </c>
      <c r="F107" s="1">
        <v>91.59</v>
      </c>
      <c r="G107" s="1">
        <v>14.63</v>
      </c>
      <c r="H107" s="1">
        <v>3.92</v>
      </c>
      <c r="I107" s="1">
        <v>97.26</v>
      </c>
      <c r="J107" s="1">
        <v>67.55</v>
      </c>
      <c r="K107" s="1">
        <v>4.4400000000000004</v>
      </c>
    </row>
    <row r="108" spans="1:11" x14ac:dyDescent="0.25">
      <c r="A108" s="1" t="s">
        <v>117</v>
      </c>
      <c r="B108" s="1">
        <v>78.900000000000006</v>
      </c>
      <c r="C108" s="1">
        <v>9.94</v>
      </c>
      <c r="D108" s="1">
        <v>6998.7</v>
      </c>
      <c r="E108" s="1">
        <v>6.32</v>
      </c>
      <c r="F108" s="1">
        <v>95.52</v>
      </c>
      <c r="G108" s="1">
        <v>19.809999999999999</v>
      </c>
      <c r="H108" s="1">
        <v>3.52</v>
      </c>
      <c r="I108" s="1">
        <v>97.82</v>
      </c>
      <c r="J108" s="1">
        <v>72.72</v>
      </c>
      <c r="K108" s="1">
        <v>4.63</v>
      </c>
    </row>
    <row r="109" spans="1:11" x14ac:dyDescent="0.25">
      <c r="A109" s="1" t="s">
        <v>118</v>
      </c>
      <c r="B109" s="1">
        <v>81.760000000000005</v>
      </c>
      <c r="C109" s="1">
        <v>11.38</v>
      </c>
      <c r="D109" s="1">
        <v>5686.8</v>
      </c>
      <c r="E109" s="1">
        <v>5.57</v>
      </c>
      <c r="F109" s="1">
        <v>98.56</v>
      </c>
      <c r="G109" s="1">
        <v>9.34</v>
      </c>
      <c r="H109" s="1">
        <v>3.44</v>
      </c>
      <c r="I109" s="1">
        <v>95.2</v>
      </c>
      <c r="J109" s="1">
        <v>72.680000000000007</v>
      </c>
      <c r="K109" s="1">
        <v>3.76</v>
      </c>
    </row>
    <row r="110" spans="1:11" x14ac:dyDescent="0.25">
      <c r="A110" s="1" t="s">
        <v>119</v>
      </c>
      <c r="B110" s="1">
        <v>84.51</v>
      </c>
      <c r="C110" s="1">
        <v>12.11</v>
      </c>
      <c r="D110" s="1">
        <v>12438.9</v>
      </c>
      <c r="E110" s="1">
        <v>4.38</v>
      </c>
      <c r="F110" s="1">
        <v>95.19</v>
      </c>
      <c r="G110" s="1">
        <v>13.63</v>
      </c>
      <c r="H110" s="1">
        <v>6.36</v>
      </c>
      <c r="I110" s="1">
        <v>95.92</v>
      </c>
      <c r="J110" s="1">
        <v>70.599999999999994</v>
      </c>
      <c r="K110" s="1">
        <v>4.3</v>
      </c>
    </row>
    <row r="111" spans="1:11" x14ac:dyDescent="0.25">
      <c r="A111" s="1" t="s">
        <v>120</v>
      </c>
      <c r="B111" s="1">
        <v>84.69</v>
      </c>
      <c r="C111" s="1">
        <v>10.89</v>
      </c>
      <c r="D111" s="1">
        <v>485448.9</v>
      </c>
      <c r="E111" s="1">
        <v>3.96</v>
      </c>
      <c r="F111" s="1">
        <v>97.69</v>
      </c>
      <c r="G111" s="1">
        <v>19.07</v>
      </c>
      <c r="H111" s="1">
        <v>5.48</v>
      </c>
      <c r="I111" s="1">
        <v>95.75</v>
      </c>
      <c r="J111" s="1">
        <v>70.489999999999995</v>
      </c>
      <c r="K111" s="1">
        <v>4.91</v>
      </c>
    </row>
    <row r="112" spans="1:11" x14ac:dyDescent="0.25">
      <c r="A112" s="1" t="s">
        <v>121</v>
      </c>
      <c r="B112" s="1">
        <v>79.69</v>
      </c>
      <c r="C112" s="1">
        <v>9.8699999999999992</v>
      </c>
      <c r="D112" s="1">
        <v>13588.1</v>
      </c>
      <c r="E112" s="1">
        <v>3.06</v>
      </c>
      <c r="F112" s="1">
        <v>96.39</v>
      </c>
      <c r="G112" s="1">
        <v>6.29</v>
      </c>
      <c r="H112" s="1">
        <v>8.6</v>
      </c>
      <c r="I112" s="1">
        <v>91.5</v>
      </c>
      <c r="J112" s="1">
        <v>73.53</v>
      </c>
      <c r="K112" s="1">
        <v>3.63</v>
      </c>
    </row>
    <row r="113" spans="1:11" x14ac:dyDescent="0.25">
      <c r="A113" s="1" t="s">
        <v>122</v>
      </c>
      <c r="B113" s="1">
        <v>70.88</v>
      </c>
      <c r="C113" s="1">
        <v>7.16</v>
      </c>
      <c r="D113" s="1">
        <v>21928.59</v>
      </c>
      <c r="E113" s="1">
        <v>9.18</v>
      </c>
      <c r="F113" s="1">
        <v>63.66</v>
      </c>
      <c r="G113" s="1">
        <v>7.19</v>
      </c>
      <c r="H113" s="1">
        <v>6.67</v>
      </c>
      <c r="I113" s="1">
        <v>87.93</v>
      </c>
      <c r="J113" s="1">
        <v>66.92</v>
      </c>
      <c r="K113" s="1">
        <v>8.09</v>
      </c>
    </row>
    <row r="114" spans="1:11" x14ac:dyDescent="0.25">
      <c r="A114" s="1" t="s">
        <v>123</v>
      </c>
      <c r="B114" s="1">
        <v>68.33</v>
      </c>
      <c r="C114" s="1">
        <v>6.61</v>
      </c>
      <c r="D114" s="1">
        <v>23377.24</v>
      </c>
      <c r="E114" s="1">
        <v>8.44</v>
      </c>
      <c r="F114" s="1">
        <v>70.23</v>
      </c>
      <c r="G114" s="1">
        <v>9.5399999999999991</v>
      </c>
      <c r="H114" s="1">
        <v>5.81</v>
      </c>
      <c r="I114" s="1">
        <v>81.69</v>
      </c>
      <c r="J114" s="1">
        <v>72.819999999999993</v>
      </c>
      <c r="K114" s="1">
        <v>6.23</v>
      </c>
    </row>
    <row r="115" spans="1:11" x14ac:dyDescent="0.25">
      <c r="A115" s="1" t="s">
        <v>124</v>
      </c>
      <c r="B115" s="1">
        <v>76.19</v>
      </c>
      <c r="C115" s="1">
        <v>9.06</v>
      </c>
      <c r="D115" s="1">
        <v>113998.2</v>
      </c>
      <c r="E115" s="1">
        <v>6.55</v>
      </c>
      <c r="F115" s="1">
        <v>89.38</v>
      </c>
      <c r="G115" s="1">
        <v>33.74</v>
      </c>
      <c r="H115" s="1">
        <v>4.6100000000000003</v>
      </c>
      <c r="I115" s="1">
        <v>92.63</v>
      </c>
      <c r="J115" s="1">
        <v>65.88</v>
      </c>
      <c r="K115" s="1">
        <v>6.06</v>
      </c>
    </row>
    <row r="116" spans="1:11" x14ac:dyDescent="0.25">
      <c r="A116" s="1" t="s">
        <v>125</v>
      </c>
      <c r="B116" s="1">
        <v>73.28</v>
      </c>
      <c r="C116" s="1">
        <v>7.88</v>
      </c>
      <c r="D116" s="1">
        <v>63255.33</v>
      </c>
      <c r="E116" s="1">
        <v>4.51</v>
      </c>
      <c r="F116" s="1">
        <v>85.31</v>
      </c>
      <c r="G116" s="1">
        <v>46.69</v>
      </c>
      <c r="H116" s="1">
        <v>5.65</v>
      </c>
      <c r="I116" s="1">
        <v>93.52</v>
      </c>
      <c r="J116" s="1">
        <v>67.77</v>
      </c>
      <c r="K116" s="1">
        <v>9.18</v>
      </c>
    </row>
    <row r="117" spans="1:11" x14ac:dyDescent="0.25">
      <c r="A117" s="1" t="s">
        <v>126</v>
      </c>
      <c r="B117" s="1">
        <v>81.53</v>
      </c>
      <c r="C117" s="1">
        <v>11.14</v>
      </c>
      <c r="D117" s="1">
        <v>125060.3</v>
      </c>
      <c r="E117" s="1">
        <v>5.43</v>
      </c>
      <c r="F117" s="1">
        <v>96.93</v>
      </c>
      <c r="G117" s="1">
        <v>26.98</v>
      </c>
      <c r="H117" s="1">
        <v>4.03</v>
      </c>
      <c r="I117" s="1">
        <v>95.91</v>
      </c>
      <c r="J117" s="1">
        <v>66.02</v>
      </c>
      <c r="K117" s="1">
        <v>5.92</v>
      </c>
    </row>
    <row r="118" spans="1:11" x14ac:dyDescent="0.25">
      <c r="A118" s="1" t="s">
        <v>127</v>
      </c>
      <c r="B118" s="1">
        <v>78.83</v>
      </c>
      <c r="C118" s="1">
        <v>10.39</v>
      </c>
      <c r="D118" s="1">
        <v>88628.11</v>
      </c>
      <c r="E118" s="1">
        <v>3.75</v>
      </c>
      <c r="F118" s="1">
        <v>97.1</v>
      </c>
      <c r="G118" s="1">
        <v>56.16</v>
      </c>
      <c r="H118" s="1">
        <v>5.05</v>
      </c>
      <c r="I118" s="1">
        <v>89.17</v>
      </c>
      <c r="J118" s="1">
        <v>60.83</v>
      </c>
      <c r="K118" s="1">
        <v>6.08</v>
      </c>
    </row>
    <row r="119" spans="1:11" x14ac:dyDescent="0.25">
      <c r="A119" s="1" t="s">
        <v>128</v>
      </c>
      <c r="B119" s="1">
        <v>76.900000000000006</v>
      </c>
      <c r="C119" s="1">
        <v>8.93</v>
      </c>
      <c r="D119" s="1">
        <v>26863.08</v>
      </c>
      <c r="E119" s="1">
        <v>5.65</v>
      </c>
      <c r="F119" s="1">
        <v>92.71</v>
      </c>
      <c r="G119" s="1">
        <v>4.6100000000000003</v>
      </c>
      <c r="H119" s="1">
        <v>6.45</v>
      </c>
      <c r="I119" s="1">
        <v>93.59</v>
      </c>
      <c r="J119" s="1">
        <v>69.099999999999994</v>
      </c>
      <c r="K119" s="1">
        <v>7.12</v>
      </c>
    </row>
    <row r="120" spans="1:11" x14ac:dyDescent="0.25">
      <c r="A120" s="1" t="s">
        <v>129</v>
      </c>
      <c r="B120" s="1">
        <v>84.16</v>
      </c>
      <c r="C120" s="1">
        <v>11.86</v>
      </c>
      <c r="D120" s="1">
        <v>73052.84</v>
      </c>
      <c r="E120" s="1">
        <v>2.36</v>
      </c>
      <c r="F120" s="1">
        <v>99.34</v>
      </c>
      <c r="G120" s="1">
        <v>8.09</v>
      </c>
      <c r="H120" s="1">
        <v>7.96</v>
      </c>
      <c r="I120" s="1">
        <v>95.29</v>
      </c>
      <c r="J120" s="1">
        <v>58.13</v>
      </c>
      <c r="K120" s="1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A28F-D834-4727-9AD3-5C413328DE65}">
  <dimension ref="A1:F127"/>
  <sheetViews>
    <sheetView tabSelected="1" topLeftCell="A94" workbookViewId="0">
      <selection activeCell="F127" sqref="F127"/>
    </sheetView>
  </sheetViews>
  <sheetFormatPr defaultRowHeight="13.2" x14ac:dyDescent="0.25"/>
  <cols>
    <col min="3" max="3" width="12" bestFit="1" customWidth="1"/>
    <col min="4" max="4" width="12.6640625" bestFit="1" customWidth="1"/>
    <col min="5" max="6" width="12.33203125" bestFit="1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137</v>
      </c>
    </row>
    <row r="2" spans="1:4" x14ac:dyDescent="0.25">
      <c r="A2" s="1">
        <v>76.69</v>
      </c>
      <c r="B2" s="1">
        <v>3268.5</v>
      </c>
      <c r="C2">
        <f>A2*B2</f>
        <v>250661.26499999998</v>
      </c>
      <c r="D2">
        <f>B2^2</f>
        <v>10683092.25</v>
      </c>
    </row>
    <row r="3" spans="1:4" x14ac:dyDescent="0.25">
      <c r="A3" s="1">
        <v>87.57</v>
      </c>
      <c r="B3" s="1">
        <v>500422.7</v>
      </c>
      <c r="C3">
        <f t="shared" ref="C3:C66" si="0">A3*B3</f>
        <v>43822015.838999994</v>
      </c>
      <c r="D3">
        <f t="shared" ref="D3:D66" si="1">B3^2</f>
        <v>250422878675.29001</v>
      </c>
    </row>
    <row r="4" spans="1:4" x14ac:dyDescent="0.25">
      <c r="A4" s="1">
        <v>84.76</v>
      </c>
      <c r="B4" s="1">
        <v>362068.1</v>
      </c>
      <c r="C4">
        <f t="shared" si="0"/>
        <v>30688892.155999999</v>
      </c>
      <c r="D4">
        <f t="shared" si="1"/>
        <v>131093309037.60999</v>
      </c>
    </row>
    <row r="5" spans="1:4" x14ac:dyDescent="0.25">
      <c r="A5" s="1">
        <v>83.75</v>
      </c>
      <c r="B5" s="1">
        <v>532606.9</v>
      </c>
      <c r="C5">
        <f t="shared" si="0"/>
        <v>44605827.875</v>
      </c>
      <c r="D5">
        <f t="shared" si="1"/>
        <v>283670109927.61005</v>
      </c>
    </row>
    <row r="6" spans="1:4" x14ac:dyDescent="0.25">
      <c r="A6" s="1">
        <v>84.4</v>
      </c>
      <c r="B6" s="1">
        <v>383113.1</v>
      </c>
      <c r="C6">
        <f t="shared" si="0"/>
        <v>32334745.640000001</v>
      </c>
      <c r="D6">
        <f t="shared" si="1"/>
        <v>146775647391.60999</v>
      </c>
    </row>
    <row r="7" spans="1:4" x14ac:dyDescent="0.25">
      <c r="A7" s="1">
        <v>82.13</v>
      </c>
      <c r="B7" s="1">
        <v>380461.1</v>
      </c>
      <c r="C7">
        <f t="shared" si="0"/>
        <v>31247270.142999995</v>
      </c>
      <c r="D7">
        <f t="shared" si="1"/>
        <v>144750648613.20999</v>
      </c>
    </row>
    <row r="8" spans="1:4" x14ac:dyDescent="0.25">
      <c r="A8" s="1">
        <v>73.63</v>
      </c>
      <c r="B8" s="1">
        <v>185882.34</v>
      </c>
      <c r="C8">
        <f t="shared" si="0"/>
        <v>13686516.6942</v>
      </c>
      <c r="D8">
        <f t="shared" si="1"/>
        <v>34552244323.875595</v>
      </c>
    </row>
    <row r="9" spans="1:4" x14ac:dyDescent="0.25">
      <c r="A9" s="1">
        <v>70.180000000000007</v>
      </c>
      <c r="B9" s="1">
        <v>55723.92</v>
      </c>
      <c r="C9">
        <f t="shared" si="0"/>
        <v>3910704.7056000005</v>
      </c>
      <c r="D9">
        <f t="shared" si="1"/>
        <v>3105155260.1664</v>
      </c>
    </row>
    <row r="10" spans="1:4" x14ac:dyDescent="0.25">
      <c r="A10" s="1">
        <v>68.89</v>
      </c>
      <c r="B10" s="1">
        <v>38208.18</v>
      </c>
      <c r="C10">
        <f t="shared" si="0"/>
        <v>2632161.5202000001</v>
      </c>
      <c r="D10">
        <f t="shared" si="1"/>
        <v>1459865018.9124</v>
      </c>
    </row>
    <row r="11" spans="1:4" x14ac:dyDescent="0.25">
      <c r="A11" s="1">
        <v>74.59</v>
      </c>
      <c r="B11" s="1">
        <v>97509.91</v>
      </c>
      <c r="C11">
        <f t="shared" si="0"/>
        <v>7273264.186900001</v>
      </c>
      <c r="D11">
        <f t="shared" si="1"/>
        <v>9508182548.2081013</v>
      </c>
    </row>
    <row r="12" spans="1:4" x14ac:dyDescent="0.25">
      <c r="A12" s="1">
        <v>69.91</v>
      </c>
      <c r="B12" s="1">
        <v>46270.92</v>
      </c>
      <c r="C12">
        <f t="shared" si="0"/>
        <v>3234800.0171999997</v>
      </c>
      <c r="D12">
        <f t="shared" si="1"/>
        <v>2140998037.6463997</v>
      </c>
    </row>
    <row r="13" spans="1:4" x14ac:dyDescent="0.25">
      <c r="A13" s="1">
        <v>69.98</v>
      </c>
      <c r="B13" s="1">
        <v>28879.68</v>
      </c>
      <c r="C13">
        <f t="shared" si="0"/>
        <v>2021000.0064000001</v>
      </c>
      <c r="D13">
        <f t="shared" si="1"/>
        <v>834035916.90240002</v>
      </c>
    </row>
    <row r="14" spans="1:4" x14ac:dyDescent="0.25">
      <c r="A14" s="1">
        <v>73.64</v>
      </c>
      <c r="B14" s="1">
        <v>26360.94</v>
      </c>
      <c r="C14">
        <f t="shared" si="0"/>
        <v>1941219.6216</v>
      </c>
      <c r="D14">
        <f t="shared" si="1"/>
        <v>694899157.68359995</v>
      </c>
    </row>
    <row r="15" spans="1:4" x14ac:dyDescent="0.25">
      <c r="A15" s="1">
        <v>71.56</v>
      </c>
      <c r="B15" s="1">
        <v>20507.27</v>
      </c>
      <c r="C15">
        <f t="shared" si="0"/>
        <v>1467500.2412</v>
      </c>
      <c r="D15">
        <f t="shared" si="1"/>
        <v>420548122.85290003</v>
      </c>
    </row>
    <row r="16" spans="1:4" x14ac:dyDescent="0.25">
      <c r="A16" s="1">
        <v>72.3</v>
      </c>
      <c r="B16" s="1">
        <v>39418.269999999997</v>
      </c>
      <c r="C16">
        <f t="shared" si="0"/>
        <v>2849940.9209999996</v>
      </c>
      <c r="D16">
        <f t="shared" si="1"/>
        <v>1553800009.7928998</v>
      </c>
    </row>
    <row r="17" spans="1:4" x14ac:dyDescent="0.25">
      <c r="A17" s="1">
        <v>71.37</v>
      </c>
      <c r="B17" s="1">
        <v>27438.93</v>
      </c>
      <c r="C17">
        <f t="shared" si="0"/>
        <v>1958316.4341000002</v>
      </c>
      <c r="D17">
        <f t="shared" si="1"/>
        <v>752894879.54490006</v>
      </c>
    </row>
    <row r="18" spans="1:4" x14ac:dyDescent="0.25">
      <c r="A18" s="1">
        <v>74.569999999999993</v>
      </c>
      <c r="B18" s="1">
        <v>27965.759999999998</v>
      </c>
      <c r="C18">
        <f t="shared" si="0"/>
        <v>2085406.7231999997</v>
      </c>
      <c r="D18">
        <f t="shared" si="1"/>
        <v>782083732.37759995</v>
      </c>
    </row>
    <row r="19" spans="1:4" x14ac:dyDescent="0.25">
      <c r="A19" s="1">
        <v>70.72</v>
      </c>
      <c r="B19" s="1">
        <v>68701.960000000006</v>
      </c>
      <c r="C19">
        <f t="shared" si="0"/>
        <v>4858602.6112000002</v>
      </c>
      <c r="D19">
        <f t="shared" si="1"/>
        <v>4719959307.8416004</v>
      </c>
    </row>
    <row r="20" spans="1:4" x14ac:dyDescent="0.25">
      <c r="A20" s="1">
        <v>72.05</v>
      </c>
      <c r="B20" s="1">
        <v>33126.46</v>
      </c>
      <c r="C20">
        <f t="shared" si="0"/>
        <v>2386761.443</v>
      </c>
      <c r="D20">
        <f t="shared" si="1"/>
        <v>1097362352.1315999</v>
      </c>
    </row>
    <row r="21" spans="1:4" x14ac:dyDescent="0.25">
      <c r="A21" s="1">
        <v>73.989999999999995</v>
      </c>
      <c r="B21" s="1">
        <v>54142.29</v>
      </c>
      <c r="C21">
        <f t="shared" si="0"/>
        <v>4005988.0370999998</v>
      </c>
      <c r="D21">
        <f t="shared" si="1"/>
        <v>2931387566.4440999</v>
      </c>
    </row>
    <row r="22" spans="1:4" x14ac:dyDescent="0.25">
      <c r="A22" s="1">
        <v>73.819999999999993</v>
      </c>
      <c r="B22" s="1">
        <v>194903.1</v>
      </c>
      <c r="C22">
        <f t="shared" si="0"/>
        <v>14387746.841999998</v>
      </c>
      <c r="D22">
        <f t="shared" si="1"/>
        <v>37987218389.610001</v>
      </c>
    </row>
    <row r="23" spans="1:4" x14ac:dyDescent="0.25">
      <c r="A23" s="1">
        <v>76.8</v>
      </c>
      <c r="B23" s="1">
        <v>293664.78999999998</v>
      </c>
      <c r="C23">
        <f t="shared" si="0"/>
        <v>22553455.871999998</v>
      </c>
      <c r="D23">
        <f t="shared" si="1"/>
        <v>86239008885.744095</v>
      </c>
    </row>
    <row r="24" spans="1:4" x14ac:dyDescent="0.25">
      <c r="A24" s="1">
        <v>70.77</v>
      </c>
      <c r="B24" s="1">
        <v>36793.68</v>
      </c>
      <c r="C24">
        <f t="shared" si="0"/>
        <v>2603888.7335999999</v>
      </c>
      <c r="D24">
        <f t="shared" si="1"/>
        <v>1353774887.9424</v>
      </c>
    </row>
    <row r="25" spans="1:4" x14ac:dyDescent="0.25">
      <c r="A25" s="1">
        <v>71.03</v>
      </c>
      <c r="B25" s="1">
        <v>9324.31</v>
      </c>
      <c r="C25">
        <f t="shared" si="0"/>
        <v>662305.73930000002</v>
      </c>
      <c r="D25">
        <f t="shared" si="1"/>
        <v>86942756.976099998</v>
      </c>
    </row>
    <row r="26" spans="1:4" x14ac:dyDescent="0.25">
      <c r="A26" s="1">
        <v>79.03</v>
      </c>
      <c r="B26" s="1">
        <v>38964.67</v>
      </c>
      <c r="C26">
        <f t="shared" si="0"/>
        <v>3079377.8700999999</v>
      </c>
      <c r="D26">
        <f t="shared" si="1"/>
        <v>1518245508.2089</v>
      </c>
    </row>
    <row r="27" spans="1:4" x14ac:dyDescent="0.25">
      <c r="A27" s="1">
        <v>77.69</v>
      </c>
      <c r="B27" s="1">
        <v>10303.16</v>
      </c>
      <c r="C27">
        <f t="shared" si="0"/>
        <v>800452.50040000002</v>
      </c>
      <c r="D27">
        <f t="shared" si="1"/>
        <v>106155105.98559999</v>
      </c>
    </row>
    <row r="28" spans="1:4" x14ac:dyDescent="0.25">
      <c r="A28" s="1">
        <v>83.75</v>
      </c>
      <c r="B28" s="1">
        <v>233053.79</v>
      </c>
      <c r="C28">
        <f t="shared" si="0"/>
        <v>19518254.912500001</v>
      </c>
      <c r="D28">
        <f t="shared" si="1"/>
        <v>54314069033.364105</v>
      </c>
    </row>
    <row r="29" spans="1:4" x14ac:dyDescent="0.25">
      <c r="A29" s="1">
        <v>78.09</v>
      </c>
      <c r="B29" s="1">
        <v>19884.060000000001</v>
      </c>
      <c r="C29">
        <f t="shared" si="0"/>
        <v>1552746.2454000001</v>
      </c>
      <c r="D29">
        <f t="shared" si="1"/>
        <v>395375842.08360004</v>
      </c>
    </row>
    <row r="30" spans="1:4" x14ac:dyDescent="0.25">
      <c r="A30" s="1">
        <v>83.55</v>
      </c>
      <c r="B30" s="1">
        <v>81251.61</v>
      </c>
      <c r="C30">
        <f t="shared" si="0"/>
        <v>6788572.0154999997</v>
      </c>
      <c r="D30">
        <f t="shared" si="1"/>
        <v>6601824127.5921001</v>
      </c>
    </row>
    <row r="31" spans="1:4" x14ac:dyDescent="0.25">
      <c r="A31" s="1">
        <v>83.05</v>
      </c>
      <c r="B31" s="1">
        <v>58241.86</v>
      </c>
      <c r="C31">
        <f t="shared" si="0"/>
        <v>4836986.4730000002</v>
      </c>
      <c r="D31">
        <f t="shared" si="1"/>
        <v>3392114256.2596002</v>
      </c>
    </row>
    <row r="32" spans="1:4" x14ac:dyDescent="0.25">
      <c r="A32" s="1">
        <v>80.3</v>
      </c>
      <c r="B32" s="1">
        <v>27296.93</v>
      </c>
      <c r="C32">
        <f t="shared" si="0"/>
        <v>2191943.4789999998</v>
      </c>
      <c r="D32">
        <f t="shared" si="1"/>
        <v>745122387.42490005</v>
      </c>
    </row>
    <row r="33" spans="1:4" x14ac:dyDescent="0.25">
      <c r="A33" s="1">
        <v>76.03</v>
      </c>
      <c r="B33" s="1">
        <v>18709.87</v>
      </c>
      <c r="C33">
        <f t="shared" si="0"/>
        <v>1422511.4161</v>
      </c>
      <c r="D33">
        <f t="shared" si="1"/>
        <v>350059235.41689998</v>
      </c>
    </row>
    <row r="34" spans="1:4" x14ac:dyDescent="0.25">
      <c r="A34" s="1">
        <v>75.010000000000005</v>
      </c>
      <c r="B34" s="1">
        <v>3883.98</v>
      </c>
      <c r="C34">
        <f t="shared" si="0"/>
        <v>291337.33980000002</v>
      </c>
      <c r="D34">
        <f t="shared" si="1"/>
        <v>15085300.6404</v>
      </c>
    </row>
    <row r="35" spans="1:4" x14ac:dyDescent="0.25">
      <c r="A35" s="1">
        <v>72.55</v>
      </c>
      <c r="B35" s="1">
        <v>104540.67</v>
      </c>
      <c r="C35">
        <f t="shared" si="0"/>
        <v>7584425.6084999992</v>
      </c>
      <c r="D35">
        <f t="shared" si="1"/>
        <v>10928751684.048899</v>
      </c>
    </row>
    <row r="36" spans="1:4" x14ac:dyDescent="0.25">
      <c r="A36" s="1">
        <v>74.52</v>
      </c>
      <c r="B36" s="1">
        <v>47795.71</v>
      </c>
      <c r="C36">
        <f t="shared" si="0"/>
        <v>3561736.3091999996</v>
      </c>
      <c r="D36">
        <f t="shared" si="1"/>
        <v>2284429894.4040999</v>
      </c>
    </row>
    <row r="37" spans="1:4" x14ac:dyDescent="0.25">
      <c r="A37" s="1">
        <v>70.97</v>
      </c>
      <c r="B37" s="1">
        <v>20422.61</v>
      </c>
      <c r="C37">
        <f t="shared" si="0"/>
        <v>1449392.6317</v>
      </c>
      <c r="D37">
        <f t="shared" si="1"/>
        <v>417082999.21210003</v>
      </c>
    </row>
    <row r="38" spans="1:4" x14ac:dyDescent="0.25">
      <c r="A38" s="1">
        <v>69.62</v>
      </c>
      <c r="B38" s="1">
        <v>18051.84</v>
      </c>
      <c r="C38">
        <f t="shared" si="0"/>
        <v>1256769.1008000001</v>
      </c>
      <c r="D38">
        <f t="shared" si="1"/>
        <v>325868927.38560003</v>
      </c>
    </row>
    <row r="39" spans="1:4" x14ac:dyDescent="0.25">
      <c r="A39" s="1">
        <v>72.48</v>
      </c>
      <c r="B39" s="1">
        <v>23837.83</v>
      </c>
      <c r="C39">
        <f t="shared" si="0"/>
        <v>1727765.9184000003</v>
      </c>
      <c r="D39">
        <f t="shared" si="1"/>
        <v>568242139.10890007</v>
      </c>
    </row>
    <row r="40" spans="1:4" x14ac:dyDescent="0.25">
      <c r="A40" s="1">
        <v>75.16</v>
      </c>
      <c r="B40" s="1">
        <v>15745.98</v>
      </c>
      <c r="C40">
        <f t="shared" si="0"/>
        <v>1183467.8568</v>
      </c>
      <c r="D40">
        <f t="shared" si="1"/>
        <v>247935886.16039997</v>
      </c>
    </row>
    <row r="41" spans="1:4" x14ac:dyDescent="0.25">
      <c r="A41" s="1">
        <v>70.63</v>
      </c>
      <c r="B41" s="1">
        <v>16109.38</v>
      </c>
      <c r="C41">
        <f t="shared" si="0"/>
        <v>1137805.5093999999</v>
      </c>
      <c r="D41">
        <f t="shared" si="1"/>
        <v>259512123.98439997</v>
      </c>
    </row>
    <row r="42" spans="1:4" x14ac:dyDescent="0.25">
      <c r="A42" s="1">
        <v>72.099999999999994</v>
      </c>
      <c r="B42" s="1">
        <v>27538.21</v>
      </c>
      <c r="C42">
        <f t="shared" si="0"/>
        <v>1985504.9409999999</v>
      </c>
      <c r="D42">
        <f t="shared" si="1"/>
        <v>758353010.00409997</v>
      </c>
    </row>
    <row r="43" spans="1:4" x14ac:dyDescent="0.25">
      <c r="A43" s="1">
        <v>75.959999999999994</v>
      </c>
      <c r="B43" s="1">
        <v>27556.18</v>
      </c>
      <c r="C43">
        <f t="shared" si="0"/>
        <v>2093167.4327999998</v>
      </c>
      <c r="D43">
        <f t="shared" si="1"/>
        <v>759343056.19239998</v>
      </c>
    </row>
    <row r="44" spans="1:4" x14ac:dyDescent="0.25">
      <c r="A44" s="1">
        <v>78.16</v>
      </c>
      <c r="B44" s="1">
        <v>33568.92</v>
      </c>
      <c r="C44">
        <f t="shared" si="0"/>
        <v>2623746.7871999997</v>
      </c>
      <c r="D44">
        <f t="shared" si="1"/>
        <v>1126872389.9663999</v>
      </c>
    </row>
    <row r="45" spans="1:4" x14ac:dyDescent="0.25">
      <c r="A45" s="1">
        <v>79.3</v>
      </c>
      <c r="B45" s="1">
        <v>32187.41</v>
      </c>
      <c r="C45">
        <f t="shared" si="0"/>
        <v>2552461.6129999999</v>
      </c>
      <c r="D45">
        <f t="shared" si="1"/>
        <v>1036029362.5081</v>
      </c>
    </row>
    <row r="46" spans="1:4" x14ac:dyDescent="0.25">
      <c r="A46" s="1">
        <v>72.540000000000006</v>
      </c>
      <c r="B46" s="1">
        <v>24728.69</v>
      </c>
      <c r="C46">
        <f t="shared" si="0"/>
        <v>1793819.1726000002</v>
      </c>
      <c r="D46">
        <f t="shared" si="1"/>
        <v>611508109.11609995</v>
      </c>
    </row>
    <row r="47" spans="1:4" x14ac:dyDescent="0.25">
      <c r="A47" s="1">
        <v>78.11</v>
      </c>
      <c r="B47" s="1">
        <v>31883.1</v>
      </c>
      <c r="C47">
        <f t="shared" si="0"/>
        <v>2490388.9409999996</v>
      </c>
      <c r="D47">
        <f t="shared" si="1"/>
        <v>1016532065.6099999</v>
      </c>
    </row>
    <row r="48" spans="1:4" x14ac:dyDescent="0.25">
      <c r="A48" s="1">
        <v>75.53</v>
      </c>
      <c r="B48" s="1">
        <v>32084.080000000002</v>
      </c>
      <c r="C48">
        <f t="shared" si="0"/>
        <v>2423310.5624000002</v>
      </c>
      <c r="D48">
        <f t="shared" si="1"/>
        <v>1029388189.4464002</v>
      </c>
    </row>
    <row r="49" spans="1:4" x14ac:dyDescent="0.25">
      <c r="A49" s="1">
        <v>72.02</v>
      </c>
      <c r="B49" s="1">
        <v>23591.06</v>
      </c>
      <c r="C49">
        <f t="shared" si="0"/>
        <v>1699028.1412</v>
      </c>
      <c r="D49">
        <f t="shared" si="1"/>
        <v>556538111.92360008</v>
      </c>
    </row>
    <row r="50" spans="1:4" x14ac:dyDescent="0.25">
      <c r="A50" s="1">
        <v>71.42</v>
      </c>
      <c r="B50" s="1">
        <v>19776.060000000001</v>
      </c>
      <c r="C50">
        <f t="shared" si="0"/>
        <v>1412406.2052000002</v>
      </c>
      <c r="D50">
        <f t="shared" si="1"/>
        <v>391092549.12360007</v>
      </c>
    </row>
    <row r="51" spans="1:4" x14ac:dyDescent="0.25">
      <c r="A51" s="1">
        <v>72.53</v>
      </c>
      <c r="B51" s="1">
        <v>16248.58</v>
      </c>
      <c r="C51">
        <f t="shared" si="0"/>
        <v>1178509.5074</v>
      </c>
      <c r="D51">
        <f t="shared" si="1"/>
        <v>264016352.01640001</v>
      </c>
    </row>
    <row r="52" spans="1:4" x14ac:dyDescent="0.25">
      <c r="A52" s="1">
        <v>74.099999999999994</v>
      </c>
      <c r="B52" s="1">
        <v>36780.74</v>
      </c>
      <c r="C52">
        <f t="shared" si="0"/>
        <v>2725452.8339999998</v>
      </c>
      <c r="D52">
        <f t="shared" si="1"/>
        <v>1352822834.9475999</v>
      </c>
    </row>
    <row r="53" spans="1:4" x14ac:dyDescent="0.25">
      <c r="A53" s="1">
        <v>77.209999999999994</v>
      </c>
      <c r="B53" s="1">
        <v>75010.789999999994</v>
      </c>
      <c r="C53">
        <f t="shared" si="0"/>
        <v>5791583.0958999991</v>
      </c>
      <c r="D53">
        <f t="shared" si="1"/>
        <v>5626618616.424099</v>
      </c>
    </row>
    <row r="54" spans="1:4" x14ac:dyDescent="0.25">
      <c r="A54" s="1">
        <v>74.319999999999993</v>
      </c>
      <c r="B54" s="1">
        <v>25482.07</v>
      </c>
      <c r="C54">
        <f t="shared" si="0"/>
        <v>1893827.4423999998</v>
      </c>
      <c r="D54">
        <f t="shared" si="1"/>
        <v>649335891.4849</v>
      </c>
    </row>
    <row r="55" spans="1:4" x14ac:dyDescent="0.25">
      <c r="A55" s="1">
        <v>74.569999999999993</v>
      </c>
      <c r="B55" s="1">
        <v>21894.6</v>
      </c>
      <c r="C55">
        <f t="shared" si="0"/>
        <v>1632680.3219999997</v>
      </c>
      <c r="D55">
        <f t="shared" si="1"/>
        <v>479373509.15999991</v>
      </c>
    </row>
    <row r="56" spans="1:4" x14ac:dyDescent="0.25">
      <c r="A56" s="1">
        <v>75.67</v>
      </c>
      <c r="B56" s="1">
        <v>41529.4</v>
      </c>
      <c r="C56">
        <f t="shared" si="0"/>
        <v>3142529.6980000003</v>
      </c>
      <c r="D56">
        <f t="shared" si="1"/>
        <v>1724691064.3600001</v>
      </c>
    </row>
    <row r="57" spans="1:4" x14ac:dyDescent="0.25">
      <c r="A57" s="1">
        <v>71.86</v>
      </c>
      <c r="B57" s="1">
        <v>17855.599999999999</v>
      </c>
      <c r="C57">
        <f t="shared" si="0"/>
        <v>1283103.416</v>
      </c>
      <c r="D57">
        <f t="shared" si="1"/>
        <v>318822451.35999995</v>
      </c>
    </row>
    <row r="58" spans="1:4" x14ac:dyDescent="0.25">
      <c r="A58" s="1">
        <v>74.34</v>
      </c>
      <c r="B58" s="1">
        <v>37201.449999999997</v>
      </c>
      <c r="C58">
        <f t="shared" si="0"/>
        <v>2765555.7930000001</v>
      </c>
      <c r="D58">
        <f t="shared" si="1"/>
        <v>1383947882.1024997</v>
      </c>
    </row>
    <row r="59" spans="1:4" x14ac:dyDescent="0.25">
      <c r="A59" s="1">
        <v>70.73</v>
      </c>
      <c r="B59" s="1">
        <v>18693.22</v>
      </c>
      <c r="C59">
        <f t="shared" si="0"/>
        <v>1322171.4506000001</v>
      </c>
      <c r="D59">
        <f t="shared" si="1"/>
        <v>349436473.96840006</v>
      </c>
    </row>
    <row r="60" spans="1:4" x14ac:dyDescent="0.25">
      <c r="A60" s="1">
        <v>71.95</v>
      </c>
      <c r="B60" s="1">
        <v>19283.060000000001</v>
      </c>
      <c r="C60">
        <f t="shared" si="0"/>
        <v>1387416.1670000001</v>
      </c>
      <c r="D60">
        <f t="shared" si="1"/>
        <v>371836402.96360004</v>
      </c>
    </row>
    <row r="61" spans="1:4" x14ac:dyDescent="0.25">
      <c r="A61" s="1">
        <v>68.650000000000006</v>
      </c>
      <c r="B61" s="1">
        <v>21778.06</v>
      </c>
      <c r="C61">
        <f t="shared" si="0"/>
        <v>1495063.8190000001</v>
      </c>
      <c r="D61">
        <f t="shared" si="1"/>
        <v>474283897.36360008</v>
      </c>
    </row>
    <row r="62" spans="1:4" x14ac:dyDescent="0.25">
      <c r="A62" s="1">
        <v>71.7</v>
      </c>
      <c r="B62" s="1">
        <v>29444.38</v>
      </c>
      <c r="C62">
        <f t="shared" si="0"/>
        <v>2111162.0460000001</v>
      </c>
      <c r="D62">
        <f t="shared" si="1"/>
        <v>866971513.58440006</v>
      </c>
    </row>
    <row r="63" spans="1:4" x14ac:dyDescent="0.25">
      <c r="A63" s="1">
        <v>70.180000000000007</v>
      </c>
      <c r="B63" s="1">
        <v>38546.980000000003</v>
      </c>
      <c r="C63">
        <f t="shared" si="0"/>
        <v>2705227.0564000006</v>
      </c>
      <c r="D63">
        <f t="shared" si="1"/>
        <v>1485869667.1204002</v>
      </c>
    </row>
    <row r="64" spans="1:4" x14ac:dyDescent="0.25">
      <c r="A64" s="1">
        <v>82.15</v>
      </c>
      <c r="B64" s="1">
        <v>7668.79</v>
      </c>
      <c r="C64">
        <f t="shared" si="0"/>
        <v>629991.09850000008</v>
      </c>
      <c r="D64">
        <f t="shared" si="1"/>
        <v>58810340.064099997</v>
      </c>
    </row>
    <row r="65" spans="1:4" x14ac:dyDescent="0.25">
      <c r="A65" s="1">
        <v>84.41</v>
      </c>
      <c r="B65" s="1">
        <v>42897.32</v>
      </c>
      <c r="C65">
        <f t="shared" si="0"/>
        <v>3620962.7811999996</v>
      </c>
      <c r="D65">
        <f t="shared" si="1"/>
        <v>1840180063.1824</v>
      </c>
    </row>
    <row r="66" spans="1:4" x14ac:dyDescent="0.25">
      <c r="A66" s="1">
        <v>85.72</v>
      </c>
      <c r="B66" s="1">
        <v>11505.05</v>
      </c>
      <c r="C66">
        <f t="shared" si="0"/>
        <v>986212.88599999994</v>
      </c>
      <c r="D66">
        <f t="shared" si="1"/>
        <v>132366175.50249998</v>
      </c>
    </row>
    <row r="67" spans="1:4" x14ac:dyDescent="0.25">
      <c r="A67" s="1">
        <v>85.24</v>
      </c>
      <c r="B67" s="1">
        <v>170947.72</v>
      </c>
      <c r="C67">
        <f t="shared" ref="C67:C120" si="2">A67*B67</f>
        <v>14571583.652799999</v>
      </c>
      <c r="D67">
        <f t="shared" ref="D67:D120" si="3">B67^2</f>
        <v>29223122973.198399</v>
      </c>
    </row>
    <row r="68" spans="1:4" x14ac:dyDescent="0.25">
      <c r="A68" s="1">
        <v>77.209999999999994</v>
      </c>
      <c r="B68" s="1">
        <v>8928.7999999999993</v>
      </c>
      <c r="C68">
        <f t="shared" si="2"/>
        <v>689392.64799999993</v>
      </c>
      <c r="D68">
        <f t="shared" si="3"/>
        <v>79723469.439999983</v>
      </c>
    </row>
    <row r="69" spans="1:4" x14ac:dyDescent="0.25">
      <c r="A69" s="1">
        <v>77.5</v>
      </c>
      <c r="B69" s="1">
        <v>13119.7</v>
      </c>
      <c r="C69">
        <f t="shared" si="2"/>
        <v>1016776.75</v>
      </c>
      <c r="D69">
        <f t="shared" si="3"/>
        <v>172126528.09000003</v>
      </c>
    </row>
    <row r="70" spans="1:4" x14ac:dyDescent="0.25">
      <c r="A70" s="1">
        <v>76.180000000000007</v>
      </c>
      <c r="B70" s="1">
        <v>10426.23</v>
      </c>
      <c r="C70">
        <f t="shared" si="2"/>
        <v>794270.20140000002</v>
      </c>
      <c r="D70">
        <f t="shared" si="3"/>
        <v>108706272.01289999</v>
      </c>
    </row>
    <row r="71" spans="1:4" x14ac:dyDescent="0.25">
      <c r="A71" s="1">
        <v>82.05</v>
      </c>
      <c r="B71" s="1">
        <v>22964.66</v>
      </c>
      <c r="C71">
        <f t="shared" si="2"/>
        <v>1884250.3529999999</v>
      </c>
      <c r="D71">
        <f t="shared" si="3"/>
        <v>527375608.9156</v>
      </c>
    </row>
    <row r="72" spans="1:4" x14ac:dyDescent="0.25">
      <c r="A72" s="1">
        <v>72.14</v>
      </c>
      <c r="B72" s="1">
        <v>16506.419999999998</v>
      </c>
      <c r="C72">
        <f t="shared" si="2"/>
        <v>1190773.1387999998</v>
      </c>
      <c r="D72">
        <f t="shared" si="3"/>
        <v>272461901.21639997</v>
      </c>
    </row>
    <row r="73" spans="1:4" x14ac:dyDescent="0.25">
      <c r="A73" s="1">
        <v>85.71</v>
      </c>
      <c r="B73" s="1">
        <v>41560</v>
      </c>
      <c r="C73">
        <f t="shared" si="2"/>
        <v>3562107.5999999996</v>
      </c>
      <c r="D73">
        <f t="shared" si="3"/>
        <v>1727233600</v>
      </c>
    </row>
    <row r="74" spans="1:4" x14ac:dyDescent="0.25">
      <c r="A74" s="1">
        <v>89.1</v>
      </c>
      <c r="B74" s="1">
        <v>32964.35</v>
      </c>
      <c r="C74">
        <f t="shared" si="2"/>
        <v>2937123.5849999995</v>
      </c>
      <c r="D74">
        <f t="shared" si="3"/>
        <v>1086648370.9224999</v>
      </c>
    </row>
    <row r="75" spans="1:4" x14ac:dyDescent="0.25">
      <c r="A75" s="1">
        <v>71.489999999999995</v>
      </c>
      <c r="B75" s="1">
        <v>12775.8</v>
      </c>
      <c r="C75">
        <f t="shared" si="2"/>
        <v>913341.94199999992</v>
      </c>
      <c r="D75">
        <f t="shared" si="3"/>
        <v>163221065.63999999</v>
      </c>
    </row>
    <row r="76" spans="1:4" x14ac:dyDescent="0.25">
      <c r="A76" s="1">
        <v>73.7</v>
      </c>
      <c r="B76" s="1">
        <v>16622.8</v>
      </c>
      <c r="C76">
        <f t="shared" si="2"/>
        <v>1225100.3600000001</v>
      </c>
      <c r="D76">
        <f t="shared" si="3"/>
        <v>276317479.83999997</v>
      </c>
    </row>
    <row r="77" spans="1:4" x14ac:dyDescent="0.25">
      <c r="A77" s="1">
        <v>72.47</v>
      </c>
      <c r="B77" s="1">
        <v>14881.6</v>
      </c>
      <c r="C77">
        <f t="shared" si="2"/>
        <v>1078469.5519999999</v>
      </c>
      <c r="D77">
        <f t="shared" si="3"/>
        <v>221462018.56</v>
      </c>
    </row>
    <row r="78" spans="1:4" x14ac:dyDescent="0.25">
      <c r="A78" s="1">
        <v>75.13</v>
      </c>
      <c r="B78" s="1">
        <v>31703.9</v>
      </c>
      <c r="C78">
        <f t="shared" si="2"/>
        <v>2381914.0069999998</v>
      </c>
      <c r="D78">
        <f t="shared" si="3"/>
        <v>1005137275.21</v>
      </c>
    </row>
    <row r="79" spans="1:4" x14ac:dyDescent="0.25">
      <c r="A79" s="1">
        <v>73.44</v>
      </c>
      <c r="B79" s="1">
        <v>29493.8</v>
      </c>
      <c r="C79">
        <f t="shared" si="2"/>
        <v>2166024.6719999998</v>
      </c>
      <c r="D79">
        <f t="shared" si="3"/>
        <v>869884238.43999994</v>
      </c>
    </row>
    <row r="80" spans="1:4" x14ac:dyDescent="0.25">
      <c r="A80" s="1">
        <v>75.180000000000007</v>
      </c>
      <c r="B80" s="1">
        <v>33787.599999999999</v>
      </c>
      <c r="C80">
        <f t="shared" si="2"/>
        <v>2540151.7680000002</v>
      </c>
      <c r="D80">
        <f t="shared" si="3"/>
        <v>1141601913.76</v>
      </c>
    </row>
    <row r="81" spans="1:4" x14ac:dyDescent="0.25">
      <c r="A81" s="1">
        <v>73.53</v>
      </c>
      <c r="B81" s="1">
        <v>79500.899999999994</v>
      </c>
      <c r="C81">
        <f t="shared" si="2"/>
        <v>5845701.1769999992</v>
      </c>
      <c r="D81">
        <f t="shared" si="3"/>
        <v>6320393100.8099995</v>
      </c>
    </row>
    <row r="82" spans="1:4" x14ac:dyDescent="0.25">
      <c r="A82" s="1">
        <v>70.31</v>
      </c>
      <c r="B82" s="1">
        <v>25929.9</v>
      </c>
      <c r="C82">
        <f t="shared" si="2"/>
        <v>1823131.2690000001</v>
      </c>
      <c r="D82">
        <f t="shared" si="3"/>
        <v>672359714.01000011</v>
      </c>
    </row>
    <row r="83" spans="1:4" x14ac:dyDescent="0.25">
      <c r="A83" s="1">
        <v>70.930000000000007</v>
      </c>
      <c r="B83" s="1">
        <v>62897.2</v>
      </c>
      <c r="C83">
        <f t="shared" si="2"/>
        <v>4461298.3960000006</v>
      </c>
      <c r="D83">
        <f t="shared" si="3"/>
        <v>3956057767.8399997</v>
      </c>
    </row>
    <row r="84" spans="1:4" x14ac:dyDescent="0.25">
      <c r="A84" s="1">
        <v>74.3</v>
      </c>
      <c r="B84" s="1">
        <v>63693.599999999999</v>
      </c>
      <c r="C84">
        <f t="shared" si="2"/>
        <v>4732434.4799999995</v>
      </c>
      <c r="D84">
        <f t="shared" si="3"/>
        <v>4056874680.96</v>
      </c>
    </row>
    <row r="85" spans="1:4" x14ac:dyDescent="0.25">
      <c r="A85" s="1">
        <v>71.22</v>
      </c>
      <c r="B85" s="1">
        <v>15809.3</v>
      </c>
      <c r="C85">
        <f t="shared" si="2"/>
        <v>1125938.3459999999</v>
      </c>
      <c r="D85">
        <f t="shared" si="3"/>
        <v>249933966.48999998</v>
      </c>
    </row>
    <row r="86" spans="1:4" x14ac:dyDescent="0.25">
      <c r="A86" s="1">
        <v>71.22</v>
      </c>
      <c r="B86" s="1">
        <v>15741.8</v>
      </c>
      <c r="C86">
        <f t="shared" si="2"/>
        <v>1121130.996</v>
      </c>
      <c r="D86">
        <f t="shared" si="3"/>
        <v>247804267.23999998</v>
      </c>
    </row>
    <row r="87" spans="1:4" x14ac:dyDescent="0.25">
      <c r="A87" s="1">
        <v>70.849999999999994</v>
      </c>
      <c r="B87" s="1">
        <v>27153.1</v>
      </c>
      <c r="C87">
        <f t="shared" si="2"/>
        <v>1923797.1349999998</v>
      </c>
      <c r="D87">
        <f t="shared" si="3"/>
        <v>737290839.6099999</v>
      </c>
    </row>
    <row r="88" spans="1:4" x14ac:dyDescent="0.25">
      <c r="A88" s="1">
        <v>72.36</v>
      </c>
      <c r="B88" s="1">
        <v>125622.8</v>
      </c>
      <c r="C88">
        <f t="shared" si="2"/>
        <v>9090065.8080000002</v>
      </c>
      <c r="D88">
        <f t="shared" si="3"/>
        <v>15781087879.84</v>
      </c>
    </row>
    <row r="89" spans="1:4" x14ac:dyDescent="0.25">
      <c r="A89" s="1">
        <v>82.67</v>
      </c>
      <c r="B89" s="1">
        <v>169867.8</v>
      </c>
      <c r="C89">
        <f t="shared" si="2"/>
        <v>14042971.025999999</v>
      </c>
      <c r="D89">
        <f t="shared" si="3"/>
        <v>28855069476.839996</v>
      </c>
    </row>
    <row r="90" spans="1:4" x14ac:dyDescent="0.25">
      <c r="A90" s="1">
        <v>76.69</v>
      </c>
      <c r="B90" s="1">
        <v>70527.7</v>
      </c>
      <c r="C90">
        <f t="shared" si="2"/>
        <v>5408769.3129999992</v>
      </c>
      <c r="D90">
        <f t="shared" si="3"/>
        <v>4974156467.29</v>
      </c>
    </row>
    <row r="91" spans="1:4" x14ac:dyDescent="0.25">
      <c r="A91" s="1">
        <v>75.67</v>
      </c>
      <c r="B91" s="1">
        <v>33230.5</v>
      </c>
      <c r="C91">
        <f t="shared" si="2"/>
        <v>2514551.9350000001</v>
      </c>
      <c r="D91">
        <f t="shared" si="3"/>
        <v>1104266130.25</v>
      </c>
    </row>
    <row r="92" spans="1:4" x14ac:dyDescent="0.25">
      <c r="A92" s="1">
        <v>75.239999999999995</v>
      </c>
      <c r="B92" s="1">
        <v>21614.9</v>
      </c>
      <c r="C92">
        <f t="shared" si="2"/>
        <v>1626305.0759999999</v>
      </c>
      <c r="D92">
        <f t="shared" si="3"/>
        <v>467203902.01000005</v>
      </c>
    </row>
    <row r="93" spans="1:4" x14ac:dyDescent="0.25">
      <c r="A93" s="1">
        <v>74.81</v>
      </c>
      <c r="B93" s="1">
        <v>15593.2</v>
      </c>
      <c r="C93">
        <f t="shared" si="2"/>
        <v>1166527.2920000001</v>
      </c>
      <c r="D93">
        <f t="shared" si="3"/>
        <v>243147886.24000001</v>
      </c>
    </row>
    <row r="94" spans="1:4" x14ac:dyDescent="0.25">
      <c r="A94" s="1">
        <v>76.77</v>
      </c>
      <c r="B94" s="1">
        <v>15259.9</v>
      </c>
      <c r="C94">
        <f t="shared" si="2"/>
        <v>1171502.5229999998</v>
      </c>
      <c r="D94">
        <f t="shared" si="3"/>
        <v>232864548.00999999</v>
      </c>
    </row>
    <row r="95" spans="1:4" x14ac:dyDescent="0.25">
      <c r="A95" s="1">
        <v>73.91</v>
      </c>
      <c r="B95" s="1">
        <v>15596</v>
      </c>
      <c r="C95">
        <f t="shared" si="2"/>
        <v>1152700.3599999999</v>
      </c>
      <c r="D95">
        <f t="shared" si="3"/>
        <v>243235216</v>
      </c>
    </row>
    <row r="96" spans="1:4" x14ac:dyDescent="0.25">
      <c r="A96" s="1">
        <v>72.75</v>
      </c>
      <c r="B96" s="1">
        <v>64367.4</v>
      </c>
      <c r="C96">
        <f t="shared" si="2"/>
        <v>4682728.3500000006</v>
      </c>
      <c r="D96">
        <f t="shared" si="3"/>
        <v>4143162182.7600002</v>
      </c>
    </row>
    <row r="97" spans="1:4" x14ac:dyDescent="0.25">
      <c r="A97" s="1">
        <v>72.31</v>
      </c>
      <c r="B97" s="1">
        <v>51913.4</v>
      </c>
      <c r="C97">
        <f t="shared" si="2"/>
        <v>3753857.9540000004</v>
      </c>
      <c r="D97">
        <f t="shared" si="3"/>
        <v>2695001099.5599999</v>
      </c>
    </row>
    <row r="98" spans="1:4" x14ac:dyDescent="0.25">
      <c r="A98" s="1">
        <v>75.900000000000006</v>
      </c>
      <c r="B98" s="1">
        <v>32186</v>
      </c>
      <c r="C98">
        <f t="shared" si="2"/>
        <v>2442917.4000000004</v>
      </c>
      <c r="D98">
        <f t="shared" si="3"/>
        <v>1035938596</v>
      </c>
    </row>
    <row r="99" spans="1:4" x14ac:dyDescent="0.25">
      <c r="A99" s="1">
        <v>78.930000000000007</v>
      </c>
      <c r="B99" s="1">
        <v>119274.4</v>
      </c>
      <c r="C99">
        <f t="shared" si="2"/>
        <v>9414328.3920000009</v>
      </c>
      <c r="D99">
        <f t="shared" si="3"/>
        <v>14226382495.359999</v>
      </c>
    </row>
    <row r="100" spans="1:4" x14ac:dyDescent="0.25">
      <c r="A100" s="1">
        <v>67.33</v>
      </c>
      <c r="B100" s="1">
        <v>17497.5</v>
      </c>
      <c r="C100">
        <f t="shared" si="2"/>
        <v>1178106.675</v>
      </c>
      <c r="D100">
        <f t="shared" si="3"/>
        <v>306162506.25</v>
      </c>
    </row>
    <row r="101" spans="1:4" x14ac:dyDescent="0.25">
      <c r="A101" s="1">
        <v>66.72</v>
      </c>
      <c r="B101" s="1">
        <v>14925.3</v>
      </c>
      <c r="C101">
        <f t="shared" si="2"/>
        <v>995816.01599999995</v>
      </c>
      <c r="D101">
        <f t="shared" si="3"/>
        <v>222764580.08999997</v>
      </c>
    </row>
    <row r="102" spans="1:4" x14ac:dyDescent="0.25">
      <c r="A102" s="1">
        <v>70.849999999999994</v>
      </c>
      <c r="B102" s="1">
        <v>13245.3</v>
      </c>
      <c r="C102">
        <f t="shared" si="2"/>
        <v>938429.50499999989</v>
      </c>
      <c r="D102">
        <f t="shared" si="3"/>
        <v>175437972.08999997</v>
      </c>
    </row>
    <row r="103" spans="1:4" x14ac:dyDescent="0.25">
      <c r="A103" s="1">
        <v>69.78</v>
      </c>
      <c r="B103" s="1">
        <v>27234.400000000001</v>
      </c>
      <c r="C103">
        <f t="shared" si="2"/>
        <v>1900416.432</v>
      </c>
      <c r="D103">
        <f t="shared" si="3"/>
        <v>741712543.36000013</v>
      </c>
    </row>
    <row r="104" spans="1:4" x14ac:dyDescent="0.25">
      <c r="A104" s="1">
        <v>81.88</v>
      </c>
      <c r="B104" s="1">
        <v>94774.1</v>
      </c>
      <c r="C104">
        <f t="shared" si="2"/>
        <v>7760103.3080000002</v>
      </c>
      <c r="D104">
        <f t="shared" si="3"/>
        <v>8982130030.8100014</v>
      </c>
    </row>
    <row r="105" spans="1:4" x14ac:dyDescent="0.25">
      <c r="A105" s="1">
        <v>81.44</v>
      </c>
      <c r="B105" s="1">
        <v>5746.4</v>
      </c>
      <c r="C105">
        <f t="shared" si="2"/>
        <v>467986.81599999993</v>
      </c>
      <c r="D105">
        <f t="shared" si="3"/>
        <v>33021112.959999997</v>
      </c>
    </row>
    <row r="106" spans="1:4" x14ac:dyDescent="0.25">
      <c r="A106" s="1">
        <v>84.68</v>
      </c>
      <c r="B106" s="1">
        <v>63373.3</v>
      </c>
      <c r="C106">
        <f t="shared" si="2"/>
        <v>5366451.0440000007</v>
      </c>
      <c r="D106">
        <f t="shared" si="3"/>
        <v>4016175152.8900003</v>
      </c>
    </row>
    <row r="107" spans="1:4" x14ac:dyDescent="0.25">
      <c r="A107" s="1">
        <v>77.790000000000006</v>
      </c>
      <c r="B107" s="1">
        <v>9893.2999999999993</v>
      </c>
      <c r="C107">
        <f t="shared" si="2"/>
        <v>769599.80700000003</v>
      </c>
      <c r="D107">
        <f t="shared" si="3"/>
        <v>97877384.889999986</v>
      </c>
    </row>
    <row r="108" spans="1:4" x14ac:dyDescent="0.25">
      <c r="A108" s="1">
        <v>78.900000000000006</v>
      </c>
      <c r="B108" s="1">
        <v>6998.7</v>
      </c>
      <c r="C108">
        <f t="shared" si="2"/>
        <v>552197.43000000005</v>
      </c>
      <c r="D108">
        <f t="shared" si="3"/>
        <v>48981801.689999998</v>
      </c>
    </row>
    <row r="109" spans="1:4" x14ac:dyDescent="0.25">
      <c r="A109" s="1">
        <v>81.760000000000005</v>
      </c>
      <c r="B109" s="1">
        <v>5686.8</v>
      </c>
      <c r="C109">
        <f t="shared" si="2"/>
        <v>464952.76800000004</v>
      </c>
      <c r="D109">
        <f t="shared" si="3"/>
        <v>32339694.240000002</v>
      </c>
    </row>
    <row r="110" spans="1:4" x14ac:dyDescent="0.25">
      <c r="A110" s="1">
        <v>84.51</v>
      </c>
      <c r="B110" s="1">
        <v>12438.9</v>
      </c>
      <c r="C110">
        <f t="shared" si="2"/>
        <v>1051211.439</v>
      </c>
      <c r="D110">
        <f t="shared" si="3"/>
        <v>154726233.20999998</v>
      </c>
    </row>
    <row r="111" spans="1:4" x14ac:dyDescent="0.25">
      <c r="A111" s="1">
        <v>84.69</v>
      </c>
      <c r="B111" s="1">
        <v>485448.9</v>
      </c>
      <c r="C111">
        <f t="shared" si="2"/>
        <v>41112667.340999998</v>
      </c>
      <c r="D111">
        <f t="shared" si="3"/>
        <v>235660634511.21002</v>
      </c>
    </row>
    <row r="112" spans="1:4" x14ac:dyDescent="0.25">
      <c r="A112" s="1">
        <v>79.69</v>
      </c>
      <c r="B112" s="1">
        <v>13588.1</v>
      </c>
      <c r="C112">
        <f t="shared" si="2"/>
        <v>1082835.689</v>
      </c>
      <c r="D112">
        <f t="shared" si="3"/>
        <v>184636461.61000001</v>
      </c>
    </row>
    <row r="113" spans="1:6" x14ac:dyDescent="0.25">
      <c r="A113" s="1">
        <v>70.88</v>
      </c>
      <c r="B113" s="1">
        <v>21928.59</v>
      </c>
      <c r="C113">
        <f t="shared" si="2"/>
        <v>1554298.4591999999</v>
      </c>
      <c r="D113">
        <f t="shared" si="3"/>
        <v>480863059.38810003</v>
      </c>
    </row>
    <row r="114" spans="1:6" x14ac:dyDescent="0.25">
      <c r="A114" s="1">
        <v>68.33</v>
      </c>
      <c r="B114" s="1">
        <v>23377.24</v>
      </c>
      <c r="C114">
        <f t="shared" si="2"/>
        <v>1597366.8092</v>
      </c>
      <c r="D114">
        <f t="shared" si="3"/>
        <v>546495350.01760006</v>
      </c>
    </row>
    <row r="115" spans="1:6" x14ac:dyDescent="0.25">
      <c r="A115" s="1">
        <v>76.19</v>
      </c>
      <c r="B115" s="1">
        <v>113998.2</v>
      </c>
      <c r="C115">
        <f t="shared" si="2"/>
        <v>8685522.8579999991</v>
      </c>
      <c r="D115">
        <f t="shared" si="3"/>
        <v>12995589603.24</v>
      </c>
    </row>
    <row r="116" spans="1:6" x14ac:dyDescent="0.25">
      <c r="A116" s="1">
        <v>73.28</v>
      </c>
      <c r="B116" s="1">
        <v>63255.33</v>
      </c>
      <c r="C116">
        <f t="shared" si="2"/>
        <v>4635350.5824000007</v>
      </c>
      <c r="D116">
        <f t="shared" si="3"/>
        <v>4001236773.4089003</v>
      </c>
    </row>
    <row r="117" spans="1:6" x14ac:dyDescent="0.25">
      <c r="A117" s="1">
        <v>81.53</v>
      </c>
      <c r="B117" s="1">
        <v>125060.3</v>
      </c>
      <c r="C117">
        <f t="shared" si="2"/>
        <v>10196166.259</v>
      </c>
      <c r="D117">
        <f t="shared" si="3"/>
        <v>15640078636.09</v>
      </c>
    </row>
    <row r="118" spans="1:6" x14ac:dyDescent="0.25">
      <c r="A118" s="1">
        <v>78.83</v>
      </c>
      <c r="B118" s="1">
        <v>88628.11</v>
      </c>
      <c r="C118">
        <f t="shared" si="2"/>
        <v>6986553.9112999998</v>
      </c>
      <c r="D118">
        <f t="shared" si="3"/>
        <v>7854941882.1721001</v>
      </c>
    </row>
    <row r="119" spans="1:6" x14ac:dyDescent="0.25">
      <c r="A119" s="1">
        <v>76.900000000000006</v>
      </c>
      <c r="B119" s="1">
        <v>26863.08</v>
      </c>
      <c r="C119">
        <f t="shared" si="2"/>
        <v>2065770.8520000002</v>
      </c>
      <c r="D119">
        <f t="shared" si="3"/>
        <v>721625067.08640015</v>
      </c>
    </row>
    <row r="120" spans="1:6" x14ac:dyDescent="0.25">
      <c r="A120" s="1">
        <v>84.16</v>
      </c>
      <c r="B120" s="1">
        <v>73052.84</v>
      </c>
      <c r="C120">
        <f t="shared" si="2"/>
        <v>6148127.0143999998</v>
      </c>
      <c r="D120">
        <f t="shared" si="3"/>
        <v>5336717432.0655994</v>
      </c>
    </row>
    <row r="121" spans="1:6" x14ac:dyDescent="0.25">
      <c r="B121" t="s">
        <v>136</v>
      </c>
      <c r="C121" t="s">
        <v>133</v>
      </c>
      <c r="D121" t="s">
        <v>135</v>
      </c>
      <c r="E121" t="s">
        <v>138</v>
      </c>
      <c r="F121" t="s">
        <v>139</v>
      </c>
    </row>
    <row r="122" spans="1:6" x14ac:dyDescent="0.25">
      <c r="B122">
        <f>COUNT(A2:A120)</f>
        <v>119</v>
      </c>
      <c r="C122">
        <f>SUM(C2:C120)</f>
        <v>609559690.13769996</v>
      </c>
      <c r="D122">
        <f>(SUM(A2:A120)*SUM(B2:B120))</f>
        <v>69307650827.786743</v>
      </c>
      <c r="E122">
        <f>SUM(D2:D120)</f>
        <v>1679429953044.1438</v>
      </c>
      <c r="F122">
        <f>SUM(B2:B120)^2</f>
        <v>59121777934663.82</v>
      </c>
    </row>
    <row r="123" spans="1:6" x14ac:dyDescent="0.25">
      <c r="C123" t="s">
        <v>134</v>
      </c>
      <c r="D123" t="s">
        <v>140</v>
      </c>
    </row>
    <row r="124" spans="1:6" x14ac:dyDescent="0.25">
      <c r="C124">
        <f>C122*B122-D122</f>
        <v>3229952298.5995483</v>
      </c>
      <c r="D124">
        <f>B122*E122-F122</f>
        <v>140730386477589.31</v>
      </c>
      <c r="F124" t="s">
        <v>141</v>
      </c>
    </row>
    <row r="125" spans="1:6" x14ac:dyDescent="0.25">
      <c r="F125">
        <f>C124/D124</f>
        <v>2.2951349594381338E-5</v>
      </c>
    </row>
    <row r="126" spans="1:6" x14ac:dyDescent="0.25">
      <c r="F126" t="s">
        <v>142</v>
      </c>
    </row>
    <row r="127" spans="1:6" x14ac:dyDescent="0.25">
      <c r="F127">
        <f>AVERAGE(A2:A120)-(F125*AVERAGE(B2:B120))</f>
        <v>74.26315542455923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Sheet2</vt:lpstr>
      <vt:lpstr>b0 dan 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Syahrullah</cp:lastModifiedBy>
  <dcterms:modified xsi:type="dcterms:W3CDTF">2026-02-09T06:07:42Z</dcterms:modified>
</cp:coreProperties>
</file>